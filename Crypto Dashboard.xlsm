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inr\Desktop\Github\Crypto-Reporting-main\To Add\"/>
    </mc:Choice>
  </mc:AlternateContent>
  <xr:revisionPtr revIDLastSave="0" documentId="8_{C31AE4D8-52AC-4323-8680-12A20DA84983}" xr6:coauthVersionLast="47" xr6:coauthVersionMax="47" xr10:uidLastSave="{00000000-0000-0000-0000-000000000000}"/>
  <bookViews>
    <workbookView xWindow="-110" yWindow="-110" windowWidth="19420" windowHeight="10420" tabRatio="728" activeTab="3" xr2:uid="{30F37766-858E-45EA-821E-E470146EE14F}"/>
  </bookViews>
  <sheets>
    <sheet name="Transaction" sheetId="1" r:id="rId1"/>
    <sheet name="Control Center" sheetId="7" r:id="rId2"/>
    <sheet name="Sales_Summary" sheetId="1165" r:id="rId3"/>
    <sheet name="Portfolio_Summary" sheetId="1164" r:id="rId4"/>
    <sheet name="USDC_txn" sheetId="1163" r:id="rId5"/>
    <sheet name="CAKE_txn" sheetId="1162" r:id="rId6"/>
    <sheet name="VET_txn" sheetId="1161" r:id="rId7"/>
    <sheet name="MATIC_txn" sheetId="1160" r:id="rId8"/>
    <sheet name="CTSI_txn" sheetId="1159" r:id="rId9"/>
    <sheet name="ETH_txn" sheetId="1158" r:id="rId10"/>
    <sheet name="HNT_txn" sheetId="1157" r:id="rId11"/>
    <sheet name="BNB_txn" sheetId="1156" r:id="rId12"/>
    <sheet name="DOGE_txn" sheetId="1155" r:id="rId13"/>
    <sheet name="BTC_txn" sheetId="1154" r:id="rId14"/>
    <sheet name="Sheet169" sheetId="921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5" i="1165" l="1"/>
  <c r="R73" i="1165"/>
  <c r="Q73" i="1165"/>
  <c r="W73" i="1165"/>
  <c r="J289" i="1" l="1"/>
  <c r="H289" i="1"/>
  <c r="J287" i="1"/>
  <c r="J288" i="1"/>
  <c r="J285" i="1"/>
  <c r="J286" i="1"/>
  <c r="J281" i="1"/>
  <c r="J282" i="1"/>
  <c r="J283" i="1"/>
  <c r="J284" i="1"/>
  <c r="J280" i="1"/>
  <c r="H280" i="1"/>
  <c r="J279" i="1"/>
  <c r="J274" i="1"/>
  <c r="J275" i="1"/>
  <c r="J276" i="1"/>
  <c r="J277" i="1"/>
  <c r="J278" i="1"/>
  <c r="J273" i="1"/>
  <c r="N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L1" authorId="0" shapeId="0" xr:uid="{2C8BFAE2-0E49-4999-8A24-C38CF3EFB318}">
      <text>
        <r>
          <rPr>
            <sz val="10"/>
            <color rgb="FF000000"/>
            <rFont val="Arial"/>
            <family val="2"/>
          </rPr>
          <t>e.g. 
default (1.0)
1 to 4 = 4
2 to 1 = 0.5
 --kyith.place Sat Apr 30 2011 20:51:08 GMT+0800 (Malay Peninsula Standard Time)</t>
        </r>
      </text>
    </comment>
    <comment ref="N1" authorId="0" shapeId="0" xr:uid="{EEDB0AFA-F56E-42B7-B708-5C4F97D155AC}">
      <text>
        <r>
          <rPr>
            <sz val="10"/>
            <color rgb="FF000000"/>
            <rFont val="Arial"/>
            <family val="2"/>
          </rPr>
          <t>Total units accumulated for this stock. 
Buy transactions add to this figure
Div transactions does nothing to this figure
Sell transactions minus from this figure
Default first row 2 formula: 
copy and paste this formula and propagate downwards should formula goes haywire:
=arrayformula(sumproduct(($C$2:$C2=C2)*($B$2:$B2="Buy")*($D$2:$D2))-sumproduct(($C$2:$C2=C2)*($B$2:$B2="Sell")*($D$2:$D2)))
Explanation: Sum all buy previous transactions and deduct the sum of all previous sell transactions
 --kyith.place Sun Apr 24 2011 08:48:52 GMT+0800 (Malay Peninsula Standard Time)</t>
        </r>
      </text>
    </comment>
  </commentList>
</comments>
</file>

<file path=xl/sharedStrings.xml><?xml version="1.0" encoding="utf-8"?>
<sst xmlns="http://schemas.openxmlformats.org/spreadsheetml/2006/main" count="2033" uniqueCount="119">
  <si>
    <t>Notes</t>
  </si>
  <si>
    <t>Date (UTC)</t>
  </si>
  <si>
    <t>Type</t>
  </si>
  <si>
    <t>Ticker</t>
  </si>
  <si>
    <t>Transacted Units</t>
  </si>
  <si>
    <t>Transacted Price (per unit)</t>
  </si>
  <si>
    <t>USD Fees</t>
  </si>
  <si>
    <t>Stock Split Ratio</t>
  </si>
  <si>
    <t>Buy</t>
  </si>
  <si>
    <t>No</t>
  </si>
  <si>
    <t>N/A</t>
  </si>
  <si>
    <t>Binance.us</t>
  </si>
  <si>
    <t>BNB</t>
  </si>
  <si>
    <t>Sell</t>
  </si>
  <si>
    <t>HNT</t>
  </si>
  <si>
    <t>Robinhood</t>
  </si>
  <si>
    <t>DOGE</t>
  </si>
  <si>
    <t>BTC</t>
  </si>
  <si>
    <t>ETH</t>
  </si>
  <si>
    <t>Coinbase</t>
  </si>
  <si>
    <t>CTSI</t>
  </si>
  <si>
    <t>VET</t>
  </si>
  <si>
    <t>MATIC</t>
  </si>
  <si>
    <t>Fee</t>
  </si>
  <si>
    <t>Trust Wallet/BEP20</t>
  </si>
  <si>
    <t>CAKE</t>
  </si>
  <si>
    <t>Approval to Trade on Pancakeswap</t>
  </si>
  <si>
    <t>Approval to stake on Pancakeswap</t>
  </si>
  <si>
    <t>Staking on Pancakeswap</t>
  </si>
  <si>
    <t>Farming on PancakeSwap</t>
  </si>
  <si>
    <t>Farming on Pancakeswap</t>
  </si>
  <si>
    <t>Trust Wallet/BEP21</t>
  </si>
  <si>
    <t>Pooling on Pancakeswap</t>
  </si>
  <si>
    <t>Trust Wallet/BEP22</t>
  </si>
  <si>
    <t>Pancakeswap.finance</t>
  </si>
  <si>
    <t>Harvesting Cake</t>
  </si>
  <si>
    <t>Pancakeswap</t>
  </si>
  <si>
    <t>CAKE Cumulative Units Adjustment</t>
  </si>
  <si>
    <t>Unstaking Cake</t>
  </si>
  <si>
    <t>Investing CAKE in Pool</t>
  </si>
  <si>
    <t>Smart Chain BNB to BNB</t>
  </si>
  <si>
    <t>Trust Wallet</t>
  </si>
  <si>
    <t>Trust Wallet to Binance</t>
  </si>
  <si>
    <t>BNB Cumulative Units Adjustment</t>
  </si>
  <si>
    <t>BNB Transfer</t>
  </si>
  <si>
    <t>BNB to Smart Chain</t>
  </si>
  <si>
    <t>BNB to Cake</t>
  </si>
  <si>
    <t>Pooling CAKE</t>
  </si>
  <si>
    <t>Transacted Value
(Txn Units * Price)</t>
  </si>
  <si>
    <t>Cumulative Units
Units Owned Including Txn</t>
  </si>
  <si>
    <t>Coins Gained</t>
  </si>
  <si>
    <t>Value Gained</t>
  </si>
  <si>
    <t>Price Sold At</t>
  </si>
  <si>
    <t>Realized Gain/Loss</t>
  </si>
  <si>
    <t>Sale Number</t>
  </si>
  <si>
    <t>Total Sale Gain</t>
  </si>
  <si>
    <t>Total Sale Loss</t>
  </si>
  <si>
    <t>Gain:</t>
  </si>
  <si>
    <t>Loss:</t>
  </si>
  <si>
    <t>Sale Number:</t>
  </si>
  <si>
    <t>Date of Sale</t>
  </si>
  <si>
    <t>% Gain Above 1 Year</t>
  </si>
  <si>
    <t>% Loss Above 1 Year</t>
  </si>
  <si>
    <t>&gt;1 Year?</t>
  </si>
  <si>
    <t>Coins Sold (#)</t>
  </si>
  <si>
    <t>Year</t>
  </si>
  <si>
    <t>Income</t>
  </si>
  <si>
    <t>Income Earned</t>
  </si>
  <si>
    <t>Coins Total</t>
  </si>
  <si>
    <t>Sell Price:</t>
  </si>
  <si>
    <t>Short Gain</t>
  </si>
  <si>
    <t>Long Gain</t>
  </si>
  <si>
    <t>Long Loss</t>
  </si>
  <si>
    <t>Price/Coin</t>
  </si>
  <si>
    <t>Short Loss</t>
  </si>
  <si>
    <t>Buy or Income</t>
  </si>
  <si>
    <t>Txn Data</t>
  </si>
  <si>
    <t>Sale Data</t>
  </si>
  <si>
    <t>Coin</t>
  </si>
  <si>
    <t>Mined/Staked Income</t>
  </si>
  <si>
    <t>Transaction Item #</t>
  </si>
  <si>
    <t>If Independent Fee, Whats the Fee For?</t>
  </si>
  <si>
    <t>Brokerage of Transaction</t>
  </si>
  <si>
    <t>Trading Fee - Buy</t>
  </si>
  <si>
    <t>Trading Fee - Sell</t>
  </si>
  <si>
    <t>Binance Withdrawal</t>
  </si>
  <si>
    <t>Conversion to BNB to BNB Smart Chain (identical comodity; non-taxable)</t>
  </si>
  <si>
    <t>Crypto Exchange (BNB to CAKE)</t>
  </si>
  <si>
    <t>Buying BNB</t>
  </si>
  <si>
    <t>Selling BNB</t>
  </si>
  <si>
    <t>Exchanging liquidity tokens for crypto</t>
  </si>
  <si>
    <t>Transferring crypto to wallet</t>
  </si>
  <si>
    <t>BNB Buy</t>
  </si>
  <si>
    <t>Slippage in price between BNB and CAKE</t>
  </si>
  <si>
    <t>BNB to CAKE</t>
  </si>
  <si>
    <t>Selling VET</t>
  </si>
  <si>
    <t>Selling HNT</t>
  </si>
  <si>
    <t>Buying BTC</t>
  </si>
  <si>
    <t>Realized Gain Loss</t>
  </si>
  <si>
    <t>Holdings by EOY</t>
  </si>
  <si>
    <t>Date of Buy/Income</t>
  </si>
  <si>
    <t>Verifying CAKE</t>
  </si>
  <si>
    <t>Trustwallet</t>
  </si>
  <si>
    <t>BNB Smart to BNB</t>
  </si>
  <si>
    <t>CAKE to BNB</t>
  </si>
  <si>
    <t>12/21/2021 10:36</t>
  </si>
  <si>
    <t>11.836</t>
  </si>
  <si>
    <t>TrustWallet</t>
  </si>
  <si>
    <t>Staking</t>
  </si>
  <si>
    <t>USDC</t>
  </si>
  <si>
    <t>Previous Units
(Units Owned Before Txn)</t>
  </si>
  <si>
    <t>to buy miner</t>
  </si>
  <si>
    <t>Cost Basis of Sale</t>
  </si>
  <si>
    <t>Value of Sale</t>
  </si>
  <si>
    <t>Cost Basis of Total Sale</t>
  </si>
  <si>
    <t>Value of Total Sale</t>
  </si>
  <si>
    <t>Cost Basis of Currency</t>
  </si>
  <si>
    <t>Gain/Loss</t>
  </si>
  <si>
    <t>Realized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</si>
</sst>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_);\(&quot;$&quot;#,##0.00\)"/>
    <numFmt numFmtId="44" formatCode="_(&quot;$&quot;* #,##0.00_);_(&quot;$&quot;* \(#,##0.00\);_(&quot;$&quot;* &quot;-&quot;??_);_(@_)"/>
    <numFmt numFmtId="164" formatCode="\$#,##0.00"/>
    <numFmt numFmtId="165" formatCode="0.0000000"/>
    <numFmt numFmtId="166" formatCode="0.000"/>
    <numFmt numFmtId="167" formatCode="mm/dd/yyyy"/>
    <numFmt numFmtId="168" formatCode="#####.#####"/>
    <numFmt numFmtId="169" formatCode="#####.######"/>
    <numFmt numFmtId="170" formatCode="####.###"/>
  </numFmts>
  <fonts count="5" x14ac:knownFonts="1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3300"/>
        <bgColor rgb="FF003300"/>
      </patternFill>
    </fill>
    <fill>
      <patternFill patternType="solid">
        <fgColor rgb="FF643200"/>
        <bgColor indexed="64"/>
      </patternFill>
    </fill>
    <fill>
      <patternFill patternType="solid">
        <fgColor rgb="FF0033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">
    <xf numFmtId="0" fontId="0" fillId="0" borderId="0" xfId="0"/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7" fontId="0" fillId="0" borderId="0" xfId="0" applyNumberFormat="1" applyAlignment="1">
      <alignment horizontal="right"/>
    </xf>
    <xf numFmtId="7" fontId="0" fillId="0" borderId="0" xfId="0" applyNumberFormat="1"/>
    <xf numFmtId="22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centerContinuous"/>
    </xf>
    <xf numFmtId="0" fontId="0" fillId="3" borderId="0" xfId="0" applyFill="1" applyAlignment="1">
      <alignment wrapText="1"/>
    </xf>
    <xf numFmtId="0" fontId="1" fillId="4" borderId="3" xfId="0" applyFont="1" applyFill="1" applyBorder="1" applyAlignment="1">
      <alignment horizontal="center" vertical="center" wrapText="1"/>
    </xf>
    <xf numFmtId="170" fontId="0" fillId="0" borderId="0" xfId="0" applyNumberFormat="1" applyAlignment="1">
      <alignment horizontal="right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right"/>
    </xf>
  </cellXfs>
  <cellStyles count="2">
    <cellStyle name="Currency" xfId="1" builtinId="4"/>
    <cellStyle name="Normal" xfId="0" builtinId="0"/>
  </cellStyles>
  <dxfs count="447"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9" formatCode="#####.#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1" formatCode="&quot;$&quot;#,##0.00_);\(&quot;$&quot;#,##0.00\)"/>
      <alignment horizontal="right" vertical="bottom" textRotation="0" wrapText="0" indent="0" justifyLastLine="0" shrinkToFit="0" readingOrder="0"/>
    </dxf>
    <dxf>
      <numFmt numFmtId="168" formatCode="#####.#####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6" formatCode="0.000"/>
      <alignment horizontal="center" vertical="center" textRotation="0" wrapText="1" indent="0" justifyLastLine="0" shrinkToFit="0" readingOrder="0"/>
    </dxf>
    <dxf>
      <numFmt numFmtId="166" formatCode="0.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6" formatCode="0.0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6</xdr:row>
          <xdr:rowOff>38100</xdr:rowOff>
        </xdr:from>
        <xdr:to>
          <xdr:col>5</xdr:col>
          <xdr:colOff>406400</xdr:colOff>
          <xdr:row>8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Portfolio Tracker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7CA61622-FEFB-4DF9-AB78-5206768C0855}" name="Transaction_tbl" displayName="Transaction_tbl" ref="A1:N290" totalsRowShown="0">
  <autoFilter ref="A1:N290" xr:uid="{7CA61622-FEFB-4DF9-AB78-5206768C0855}"/>
  <sortState xmlns:xlrd2="http://schemas.microsoft.com/office/spreadsheetml/2017/richdata2" ref="A2:N273">
    <sortCondition ref="C1:C273"/>
  </sortState>
  <tableColumns count="14">
    <tableColumn id="1" xr3:uid="{32E55CBE-35C4-4993-B71D-068F91B2CE5B}" name="Notes" dataDxfId="446"/>
    <tableColumn id="2" xr3:uid="{485EAD01-6068-4D75-BC39-9D3F909FF291}" name="Transaction Item #" dataDxfId="445"/>
    <tableColumn id="3" xr3:uid="{DF031323-263B-4877-A798-55CD73CB675A}" name="Date (UTC)" dataDxfId="444"/>
    <tableColumn id="4" xr3:uid="{F0097680-2A78-4C12-8A94-9F829F7B606C}" name="Type" dataDxfId="443"/>
    <tableColumn id="5" xr3:uid="{B0BB1F20-6AC5-4B22-A7EE-A30DBBB3F321}" name="If Independent Fee, Whats the Fee For?" dataDxfId="442"/>
    <tableColumn id="6" xr3:uid="{937E3EBA-2508-4465-98F2-93232FE807FD}" name="Brokerage of Transaction" dataDxfId="441"/>
    <tableColumn id="7" xr3:uid="{F03332C5-5D0F-499E-BF71-B71C2222A32F}" name="Ticker" dataDxfId="440"/>
    <tableColumn id="8" xr3:uid="{2BD7ABA8-5EE5-497E-A9C2-2493783E5FD4}" name="Transacted Units" dataDxfId="439"/>
    <tableColumn id="9" xr3:uid="{D10EDB35-9D94-4D10-B9A9-E7F20E30FD91}" name="Transacted Price (per unit)" dataDxfId="438" dataCellStyle="Currency"/>
    <tableColumn id="15" xr3:uid="{F4AFF7B4-0B96-4676-B872-0D682E99E5C9}" name="Transacted Value_x000a__x000a_(Txn Units * Price)" dataDxfId="437" dataCellStyle="Currency"/>
    <tableColumn id="10" xr3:uid="{880A9EA8-92BF-43A2-A8CB-05154898407D}" name="USD Fees" dataDxfId="436" dataCellStyle="Currency"/>
    <tableColumn id="11" xr3:uid="{FC138824-915B-4CAA-BE0A-658FCE39366B}" name="Stock Split Ratio" dataDxfId="435"/>
    <tableColumn id="12" xr3:uid="{8FBE05F5-D408-42C2-B1A3-8FDCDBB7FAB6}" name="Previous Units_x000a_(Units Owned Before Txn)" dataDxfId="434"/>
    <tableColumn id="13" xr3:uid="{3775567A-2AC6-4A8F-BD8D-9935C2E29141}" name="Cumulative Units_x000a__x000a_Units Owned Including Txn" dataDxfId="4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F79FE1DB-3413-41C9-85B2-94874ACC239F}" name="2020_sales_tbl" displayName="_2020_sales_tbl" ref="A2:K4" totalsRowShown="0" dataDxfId="432">
  <autoFilter ref="A2:K4" xr:uid="{F79FE1DB-3413-41C9-85B2-94874ACC239F}"/>
  <tableColumns count="11">
    <tableColumn id="1" xr3:uid="{8D4ABEB8-1633-4DAF-A1C3-698CAF389706}" name="Ticker" dataDxfId="431"/>
    <tableColumn id="2" xr3:uid="{9B143FE3-1800-41E4-81B3-303789ABA53A}" name="Date of Sale" dataDxfId="430"/>
    <tableColumn id="3" xr3:uid="{8FC02947-7827-490D-B5AD-AC3D0D8010D4}" name="Coins Sold (#)" dataDxfId="429"/>
    <tableColumn id="4" xr3:uid="{BEF2E3D4-DEBF-453F-B90A-ADCE240DD90A}" name="Sell Price:" dataDxfId="428"/>
    <tableColumn id="5" xr3:uid="{A8395494-9F1A-4C5C-B510-9FDC5B85FF28}" name="Cost Basis of Sale" dataDxfId="427"/>
    <tableColumn id="6" xr3:uid="{2501E8AE-BF60-42A2-9ED8-BA19F4112538}" name="Value of Sale" dataDxfId="426"/>
    <tableColumn id="7" xr3:uid="{83ED2AFB-7572-4369-85E5-6D316D551A8E}" name="Gain:" dataDxfId="425"/>
    <tableColumn id="8" xr3:uid="{CFEB639C-1AEC-43C6-B73C-29752DE91176}" name="% Gain Above 1 Year" dataDxfId="424"/>
    <tableColumn id="9" xr3:uid="{63C3EDE0-2693-4F8F-8370-961ED455A8A9}" name="Loss:" dataDxfId="423"/>
    <tableColumn id="10" xr3:uid="{9CE0A47B-DB75-44B3-AA51-BF6AD5516CB4}" name="% Loss Above 1 Year" dataDxfId="422"/>
    <tableColumn id="11" xr3:uid="{6E2F9D00-D123-452D-9DA7-12EC02451614}" name="Realized Value" dataDxfId="4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94EF1381-DC48-4E7C-AAA1-FC12088030F2}" name="2021_sales_tbl" displayName="_2021_sales_tbl" ref="M2:W71" totalsRowShown="0" dataDxfId="420">
  <autoFilter ref="M2:W71" xr:uid="{94EF1381-DC48-4E7C-AAA1-FC12088030F2}"/>
  <tableColumns count="11">
    <tableColumn id="1" xr3:uid="{441FFD3C-ECEF-4401-8A30-04ECB88063E0}" name="Ticker" dataDxfId="419"/>
    <tableColumn id="2" xr3:uid="{E1A80CE7-3B15-49C1-9CF7-D1F67D58C495}" name="Date of Sale" dataDxfId="418"/>
    <tableColumn id="3" xr3:uid="{BD90E0FB-F3CE-40B9-91DA-4E2D271211DC}" name="Coins Sold (#)" dataDxfId="417"/>
    <tableColumn id="4" xr3:uid="{F6A78A5B-FA5B-4D98-9AF5-D04E24921150}" name="Sell Price:" dataDxfId="416"/>
    <tableColumn id="5" xr3:uid="{4C0CA70F-C825-444B-9C54-C39F225BDE98}" name="Cost Basis of Sale" dataDxfId="2"/>
    <tableColumn id="6" xr3:uid="{B0899612-52C3-4C48-B91D-74627622B2A9}" name="Value of Sale" dataDxfId="0"/>
    <tableColumn id="7" xr3:uid="{A275E36B-D489-4460-8C0D-2D3EB95721A4}" name="Gain:" dataDxfId="1"/>
    <tableColumn id="8" xr3:uid="{AD8CD4CC-2ED3-42C8-93BC-E6610F1CBEB2}" name="% Gain Above 1 Year" dataDxfId="415"/>
    <tableColumn id="9" xr3:uid="{A7A0B234-A7E0-4B36-95DF-8FBD359E9DC9}" name="Loss:" dataDxfId="414"/>
    <tableColumn id="10" xr3:uid="{36C91AAB-95A7-4DEA-B1C1-CD1C780945F6}" name="% Loss Above 1 Year" dataDxfId="413"/>
    <tableColumn id="11" xr3:uid="{B2A808BA-FB36-438B-A869-B7B4577274F0}" name="Realized Value" dataDxfId="4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9CA7464F-F6DD-4896-B353-0743CBB22F91}" name="2022_sales_tbl" displayName="_2022_sales_tbl" ref="Y2:AI4" totalsRowShown="0" dataDxfId="411">
  <autoFilter ref="Y2:AI4" xr:uid="{9CA7464F-F6DD-4896-B353-0743CBB22F91}"/>
  <tableColumns count="11">
    <tableColumn id="1" xr3:uid="{BB643C04-B4EF-4ECF-8F36-E709478D1D23}" name="Ticker" dataDxfId="410"/>
    <tableColumn id="2" xr3:uid="{F5EAEFA9-A45A-4842-A200-0A0F2489938B}" name="Date of Sale" dataDxfId="409"/>
    <tableColumn id="3" xr3:uid="{74780A61-8A1D-4D28-815C-B030124E23B7}" name="Coins Sold (#)" dataDxfId="408"/>
    <tableColumn id="4" xr3:uid="{EE34CB95-938B-4617-A569-7D4F88E14D93}" name="Sell Price:" dataDxfId="407"/>
    <tableColumn id="5" xr3:uid="{21ED3ECD-7B3E-4605-9ED0-AD64D1220DE2}" name="Cost Basis of Sale" dataDxfId="406"/>
    <tableColumn id="6" xr3:uid="{8E1A571B-D8FC-4029-9D89-A6748626ABC9}" name="Value of Sale" dataDxfId="405"/>
    <tableColumn id="7" xr3:uid="{51559D83-F3B8-4E83-909A-3D625751F30C}" name="Gain:" dataDxfId="404"/>
    <tableColumn id="8" xr3:uid="{BF546201-A7C9-46BD-8950-FB4C3DF684AC}" name="% Gain Above 1 Year" dataDxfId="403"/>
    <tableColumn id="9" xr3:uid="{0B0D1436-5C0F-48C5-836A-EB5D8B36A9E9}" name="Loss:" dataDxfId="402"/>
    <tableColumn id="10" xr3:uid="{B8FF8EED-5B9B-4E7D-B116-AECD023A91A8}" name="% Loss Above 1 Year" dataDxfId="401"/>
    <tableColumn id="11" xr3:uid="{B9AA398C-20AF-444E-AD13-C7CFA21B6F51}" name="Realized Value" dataDxfId="40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9E12ABD2-0FB5-42F0-9BD7-750788FB3913}" name="2020_tbl" displayName="_2020_tbl" ref="A2:H12" totalsRowShown="0" dataDxfId="399">
  <autoFilter ref="A2:H12" xr:uid="{9E12ABD2-0FB5-42F0-9BD7-750788FB3913}"/>
  <tableColumns count="8">
    <tableColumn id="1" xr3:uid="{9600C567-9915-40B3-8BC3-3B2442DEE420}" name="Coin" dataDxfId="398"/>
    <tableColumn id="2" xr3:uid="{A1577BEA-692C-4FFE-9F44-A670AF1D5CBA}" name="Mined/Staked Income" dataDxfId="397"/>
    <tableColumn id="3" xr3:uid="{0765E7AC-CF43-47A1-AFCD-993EEC02EE08}" name="Long Gain" dataDxfId="396"/>
    <tableColumn id="4" xr3:uid="{A96FDF58-2F15-43F6-B94B-477F09EDFAF4}" name="Long Loss" dataDxfId="395"/>
    <tableColumn id="5" xr3:uid="{FD525EE5-5C7C-49B6-8F7B-1F6B99F5FDA8}" name="Short Gain" dataDxfId="394"/>
    <tableColumn id="6" xr3:uid="{CCF830FE-83E2-49A9-B8BB-B438A4E0BF30}" name="Short Loss" dataDxfId="393"/>
    <tableColumn id="7" xr3:uid="{9D1579D2-EACB-4E8E-B511-40C3A180DBEC}" name="Realized Gain Loss" dataDxfId="392"/>
    <tableColumn id="8" xr3:uid="{432F5A1A-DAD2-49C2-9EEA-BA05CD3F0371}" name="Holdings by EOY" dataDxfId="39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692E8E2D-8687-4E97-942E-446C28DF5AA6}" name="2021_tbl" displayName="_2021_tbl" ref="J2:Q12" totalsRowShown="0" dataDxfId="390">
  <autoFilter ref="J2:Q12" xr:uid="{692E8E2D-8687-4E97-942E-446C28DF5AA6}"/>
  <tableColumns count="8">
    <tableColumn id="1" xr3:uid="{562BDFDC-2EB0-4680-A2C0-71471058B68E}" name="Coin" dataDxfId="389"/>
    <tableColumn id="2" xr3:uid="{05BCDF33-EB56-4FF8-9F5B-9E868C0F0F21}" name="Mined/Staked Income" dataDxfId="388"/>
    <tableColumn id="3" xr3:uid="{FAFBD20F-4F57-44C5-BAC7-70B2FF1DDE8A}" name="Long Gain" dataDxfId="387"/>
    <tableColumn id="4" xr3:uid="{37544D27-40A3-42D3-8FAA-B1B0512B5AF1}" name="Long Loss" dataDxfId="386"/>
    <tableColumn id="5" xr3:uid="{F9134969-6C3F-48B0-AE3C-4C9AA8D98EC8}" name="Short Gain" dataDxfId="385"/>
    <tableColumn id="6" xr3:uid="{5CFFED58-0404-45AD-8168-FD79BEBED757}" name="Short Loss" dataDxfId="384"/>
    <tableColumn id="7" xr3:uid="{6D5ABBE0-C251-496B-AD9C-AA9665222EF7}" name="Realized Gain Loss" dataDxfId="383"/>
    <tableColumn id="8" xr3:uid="{39C49A3C-D3BF-4CE5-A8A9-3EDE1A4A19D2}" name="Holdings by EOY" dataDxfId="38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2CAAC657-B524-49F2-B5DD-ECEC1AA3180B}" name="2022_tbl" displayName="_2022_tbl" ref="S2:Z12" totalsRowShown="0" dataDxfId="381">
  <autoFilter ref="S2:Z12" xr:uid="{2CAAC657-B524-49F2-B5DD-ECEC1AA3180B}"/>
  <tableColumns count="8">
    <tableColumn id="1" xr3:uid="{E2F34CB6-3BC6-4AE0-BF05-5C1F34F95798}" name="Coin" dataDxfId="380"/>
    <tableColumn id="2" xr3:uid="{232067FB-6A5D-4D27-8FA7-333D8EBB0980}" name="Mined/Staked Income" dataDxfId="379"/>
    <tableColumn id="3" xr3:uid="{153F6FFC-614A-4AE5-93A2-FA7031BB0E6F}" name="Long Gain" dataDxfId="378"/>
    <tableColumn id="4" xr3:uid="{87312C42-290F-4D1E-9B9E-980FDED02946}" name="Long Loss" dataDxfId="377"/>
    <tableColumn id="5" xr3:uid="{5E49EF9E-0F89-420F-9AAC-11060D0ABA90}" name="Short Gain" dataDxfId="376"/>
    <tableColumn id="6" xr3:uid="{DE969652-03CD-4B10-83E2-E618DBC89AC9}" name="Short Loss" dataDxfId="375"/>
    <tableColumn id="7" xr3:uid="{4051BEC6-1FFA-4FE8-9388-4B1F3C1BC1AB}" name="Realized Gain Loss" dataDxfId="374"/>
    <tableColumn id="8" xr3:uid="{DD79623D-4738-443E-907C-4112773A166E}" name="Holdings by EOY" dataDxfId="3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5C909534-22E7-4754-B0F7-153D51656F54}" name="usdc_income_txn" displayName="usdc_income_txn" ref="A4:Q7" totalsRowShown="0" headerRowDxfId="372" dataDxfId="371">
  <autoFilter ref="A4:Q7" xr:uid="{5C909534-22E7-4754-B0F7-153D51656F54}"/>
  <tableColumns count="17">
    <tableColumn id="1" xr3:uid="{137FB471-EA67-426D-9904-D1A9611B80B7}" name="Date of Buy/Income" dataDxfId="370"/>
    <tableColumn id="2" xr3:uid="{FBAAE8DF-85CD-40AD-9137-2465812FA2B8}" name="Buy or Income" dataDxfId="369"/>
    <tableColumn id="3" xr3:uid="{702E8F60-F979-4683-95BE-39DE58EEBE8A}" name="Price/Coin" dataDxfId="368"/>
    <tableColumn id="4" xr3:uid="{B0F97EF1-5CF1-439A-8C3C-C24A46DB0C83}" name="Coins Gained" dataDxfId="367"/>
    <tableColumn id="5" xr3:uid="{50516E55-7278-427A-BEC5-3D44C7843483}" name="Value Gained" dataDxfId="366"/>
    <tableColumn id="6" xr3:uid="{BAA13973-4B76-4D33-A11A-750A86D9CA32}" name="Coins Sold (#)" dataDxfId="365"/>
    <tableColumn id="7" xr3:uid="{067DFD95-B178-4BE5-B420-D94905DB530B}" name="Price Sold At" dataDxfId="364"/>
    <tableColumn id="8" xr3:uid="{612A822A-CE51-42BB-91F7-61C86E718D48}" name="Realized Gain/Loss" dataDxfId="363"/>
    <tableColumn id="9" xr3:uid="{85C2FE98-1CAF-4FE1-B307-2A91F6A8996E}" name="Sale Number" dataDxfId="362"/>
    <tableColumn id="10" xr3:uid="{D936EA17-EDFE-47B3-BA54-A608BB3DB79C}" name="Date of Sale" dataDxfId="361"/>
    <tableColumn id="11" xr3:uid="{053D32D1-001B-4C85-B2AF-16E551D8E9CB}" name="Cost Basis of Total Sale" dataDxfId="360"/>
    <tableColumn id="12" xr3:uid="{9A31CE90-5C44-43E2-8744-349F9FCD06CC}" name="Value of Total Sale" dataDxfId="359"/>
    <tableColumn id="13" xr3:uid="{91485FFC-3FEF-401B-930F-9A87041E12D8}" name="&gt;1 Year?" dataDxfId="358"/>
    <tableColumn id="14" xr3:uid="{79208FC9-D663-4B5D-AF37-8CB5B18051AD}" name="Total Sale Gain" dataDxfId="357"/>
    <tableColumn id="15" xr3:uid="{4FB9B3F4-1CD6-424A-A4BE-44F60DC54380}" name="% Gain Above 1 Year" dataDxfId="356"/>
    <tableColumn id="16" xr3:uid="{0047E92B-8440-4196-B28F-0FD458A0C263}" name="Total Sale Loss" dataDxfId="355"/>
    <tableColumn id="17" xr3:uid="{C35F95A8-E87E-42B1-AD8F-F658355312E2}" name="% Loss Above 1 Year" dataDxfId="35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4F8CA008-A36D-4BC9-9471-21636DEC0801}" name="usdc_summary_tbl_txn" displayName="usdc_summary_tbl_txn" ref="T4:AC5" totalsRowShown="0" headerRowDxfId="353" dataDxfId="352">
  <autoFilter ref="T4:AC5" xr:uid="{4F8CA008-A36D-4BC9-9471-21636DEC0801}"/>
  <tableColumns count="10">
    <tableColumn id="1" xr3:uid="{D0BC420C-5BA4-4FA0-BA4D-C575EAB4C034}" name="Sale Number:" dataDxfId="351"/>
    <tableColumn id="2" xr3:uid="{0B2A0B01-7D6F-4D87-A77F-6BC3088A9ABD}" name="Date of Sale" dataDxfId="350"/>
    <tableColumn id="3" xr3:uid="{768017D0-5990-47FE-9B71-CE443E23FA87}" name="Coins Sold (#)" dataDxfId="349"/>
    <tableColumn id="4" xr3:uid="{D8B53AEB-27F2-4CC8-91F0-A0A7DFD88BDE}" name="Sell Price:" dataDxfId="348"/>
    <tableColumn id="5" xr3:uid="{0AD52986-4CCA-4057-A223-88E78F9C85D2}" name="Cost Basis of Sale" dataDxfId="347"/>
    <tableColumn id="6" xr3:uid="{53A7F740-7745-4F09-80BB-B62E085FA546}" name="Value of Sale" dataDxfId="346"/>
    <tableColumn id="7" xr3:uid="{31E116D0-3C25-4050-98F3-2EF81D7C29D0}" name="Gain:" dataDxfId="345"/>
    <tableColumn id="8" xr3:uid="{552FBB89-1B45-490D-A34A-39C13219CDC0}" name="% Gain Above 1 Year" dataDxfId="344"/>
    <tableColumn id="9" xr3:uid="{BC75FD17-E169-4D41-8EDF-3376198029E9}" name="Loss:" dataDxfId="343"/>
    <tableColumn id="10" xr3:uid="{26A1BE96-6F82-4EE2-A37F-D32421CF785A}" name="% Loss Above 1 Year" dataDxfId="3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E5792639-8353-46A5-939D-C50058A0F4F3}" name="usdc_yearly_income_txn" displayName="usdc_yearly_income_txn" ref="AE4:AG6" totalsRowShown="0" headerRowDxfId="341" dataDxfId="340">
  <autoFilter ref="AE4:AG6" xr:uid="{E5792639-8353-46A5-939D-C50058A0F4F3}"/>
  <tableColumns count="3">
    <tableColumn id="1" xr3:uid="{B1ECC0FE-D443-4386-9AE2-4C0423EB2567}" name="Year" dataDxfId="339"/>
    <tableColumn id="2" xr3:uid="{62419075-2F55-4895-8FD3-097FE17C5B5E}" name="Coins Total" dataDxfId="338"/>
    <tableColumn id="3" xr3:uid="{E273B5ED-15B7-4042-B803-A3D6269C2177}" name="Income Earned" dataDxfId="33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531F4ADB-1EE5-46C6-98AE-96ED64F01FB2}" name="usdc_year_sum_tbl_txn" displayName="usdc_year_sum_tbl_txn" ref="AI4:AN5" totalsRowShown="0" headerRowDxfId="336">
  <autoFilter ref="AI4:AN5" xr:uid="{531F4ADB-1EE5-46C6-98AE-96ED64F01FB2}"/>
  <tableColumns count="6">
    <tableColumn id="1" xr3:uid="{B03E17A7-8442-4A88-BD4C-2BAC3FC91BDC}" name="Year"/>
    <tableColumn id="2" xr3:uid="{8A92885E-415C-4AC3-A3D5-BC1669A49600}" name="Income"/>
    <tableColumn id="3" xr3:uid="{5E304066-54BD-4FDA-A4DA-E5D98916CDB0}" name="Short Gain"/>
    <tableColumn id="4" xr3:uid="{BA0BA38D-BCF1-47C0-B016-F96F041DC3A0}" name="Long Gain"/>
    <tableColumn id="5" xr3:uid="{9B4F1192-D801-4020-9545-AA1EFAFBA98C}" name="Short Loss"/>
    <tableColumn id="6" xr3:uid="{1C6E89C9-517A-4283-886A-5C7FD4BAEEE6}" name="Long Los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C6D72A56-BF44-400B-9895-828EBC60724E}" name="cake_income_txn" displayName="cake_income_txn" ref="A4:Q186" totalsRowShown="0" headerRowDxfId="335" dataDxfId="334">
  <autoFilter ref="A4:Q186" xr:uid="{C6D72A56-BF44-400B-9895-828EBC60724E}"/>
  <tableColumns count="17">
    <tableColumn id="1" xr3:uid="{9E75EFC2-3172-400B-8BBE-37D85025A365}" name="Date of Buy/Income" dataDxfId="333"/>
    <tableColumn id="2" xr3:uid="{F75AF31C-A955-4065-9806-804D4EAC7FA8}" name="Buy or Income" dataDxfId="332"/>
    <tableColumn id="3" xr3:uid="{4967B143-CB2B-4756-8F23-CA5FC429CCB1}" name="Price/Coin" dataDxfId="331"/>
    <tableColumn id="4" xr3:uid="{7E5F4BF6-D42A-498B-8E12-784B6D0CF076}" name="Coins Gained" dataDxfId="330"/>
    <tableColumn id="5" xr3:uid="{8AA1B9DB-1ACC-4039-B695-3B633CE8C6AB}" name="Value Gained" dataDxfId="329"/>
    <tableColumn id="6" xr3:uid="{75B102C3-C792-40BC-AE4E-983D99B7AE2C}" name="Coins Sold (#)" dataDxfId="328"/>
    <tableColumn id="7" xr3:uid="{01542464-5744-487C-B892-2172B61B2D19}" name="Price Sold At" dataDxfId="327"/>
    <tableColumn id="8" xr3:uid="{B9594F05-A87E-43D2-B35A-ADC2122958EA}" name="Realized Gain/Loss" dataDxfId="326"/>
    <tableColumn id="9" xr3:uid="{B18F6FE7-405F-486F-90E1-A5DA3E48990E}" name="Sale Number" dataDxfId="325"/>
    <tableColumn id="10" xr3:uid="{F5E5A466-C526-45D2-A164-1FF4C133D010}" name="Date of Sale" dataDxfId="324"/>
    <tableColumn id="11" xr3:uid="{CC19C077-CE6E-4DAB-9A52-9CF57E9F312E}" name="Cost Basis of Total Sale" dataDxfId="323"/>
    <tableColumn id="12" xr3:uid="{20844F12-F83B-4101-AC57-102CF4F91599}" name="Value of Total Sale" dataDxfId="322"/>
    <tableColumn id="13" xr3:uid="{F7C66275-908B-455D-9378-7C818074E779}" name="&gt;1 Year?" dataDxfId="321"/>
    <tableColumn id="14" xr3:uid="{2A963A5E-6E78-4713-BEDC-83A3B46A8006}" name="Total Sale Gain" dataDxfId="320"/>
    <tableColumn id="15" xr3:uid="{5EB0AB0D-96BF-40C2-9FD5-EF36488EE372}" name="% Gain Above 1 Year" dataDxfId="319"/>
    <tableColumn id="16" xr3:uid="{1DEC1A9F-4930-4103-BAFE-703C2AA77480}" name="Total Sale Loss" dataDxfId="318"/>
    <tableColumn id="17" xr3:uid="{21CC2470-1DC3-4898-8862-6DA0685AF6FC}" name="% Loss Above 1 Year" dataDxfId="31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96EE4C88-8D4D-462F-8C83-358B05B43989}" name="cake_summary_tbl_txn" displayName="cake_summary_tbl_txn" ref="T4:AC5" totalsRowShown="0" headerRowDxfId="316" dataDxfId="315">
  <autoFilter ref="T4:AC5" xr:uid="{96EE4C88-8D4D-462F-8C83-358B05B43989}"/>
  <tableColumns count="10">
    <tableColumn id="1" xr3:uid="{D3A249F1-DD06-4076-AF81-076BCC2184F2}" name="Sale Number:" dataDxfId="314"/>
    <tableColumn id="2" xr3:uid="{0896CB6D-38E7-494D-80CE-C1ACD363C5F7}" name="Date of Sale" dataDxfId="313"/>
    <tableColumn id="3" xr3:uid="{FB793D19-F7ED-42FD-8AB8-6E6B0F5FE251}" name="Coins Sold (#)" dataDxfId="312"/>
    <tableColumn id="4" xr3:uid="{82481A4D-3384-4428-B12F-15525BB75D68}" name="Sell Price:" dataDxfId="311"/>
    <tableColumn id="5" xr3:uid="{956C962B-F660-41E0-A98A-FA38EC39BBBA}" name="Cost Basis of Sale" dataDxfId="310"/>
    <tableColumn id="6" xr3:uid="{12B1B2B5-E667-4D04-8667-20CF3FA2B5DA}" name="Value of Sale" dataDxfId="309"/>
    <tableColumn id="7" xr3:uid="{5FA3297B-427B-49DE-A51F-991DB08BDD64}" name="Gain:" dataDxfId="308"/>
    <tableColumn id="8" xr3:uid="{80A5CB62-5E47-4FCA-8A6E-E3F0D913317C}" name="% Gain Above 1 Year" dataDxfId="307"/>
    <tableColumn id="9" xr3:uid="{5815A2AB-7EA5-4C4F-8906-5ED9F41EF786}" name="Loss:" dataDxfId="306"/>
    <tableColumn id="10" xr3:uid="{ACAEB323-0C84-48FE-85AC-D592582BC69A}" name="% Loss Above 1 Year" dataDxfId="30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4F8E9032-67C7-4F89-BD0F-589879167D3F}" name="cake_yearly_income_txn" displayName="cake_yearly_income_txn" ref="AE4:AG6" totalsRowShown="0" headerRowDxfId="304" dataDxfId="303">
  <autoFilter ref="AE4:AG6" xr:uid="{4F8E9032-67C7-4F89-BD0F-589879167D3F}"/>
  <tableColumns count="3">
    <tableColumn id="1" xr3:uid="{DBF16996-DE35-4727-B743-88E0F494C0D7}" name="Year" dataDxfId="302"/>
    <tableColumn id="2" xr3:uid="{9509750F-89CE-429D-AC64-40E32E6BAE7E}" name="Coins Total" dataDxfId="301"/>
    <tableColumn id="3" xr3:uid="{6246B257-0698-4A70-B66E-216D0D923B22}" name="Income Earned" dataDxfId="30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E5D27E53-25D0-403F-A668-94C51991266F}" name="cake_year_sum_tbl_txn" displayName="cake_year_sum_tbl_txn" ref="AI4:AN5" totalsRowShown="0" headerRowDxfId="299">
  <autoFilter ref="AI4:AN5" xr:uid="{E5D27E53-25D0-403F-A668-94C51991266F}"/>
  <tableColumns count="6">
    <tableColumn id="1" xr3:uid="{2ABF1E74-2BA3-46DF-ABFC-627A2EBF6CFD}" name="Year"/>
    <tableColumn id="2" xr3:uid="{A65DF41B-CBE4-40C7-ADBD-1F23CE36ED13}" name="Income"/>
    <tableColumn id="3" xr3:uid="{B2242CBB-1735-4FE4-85E3-0D54DC0FAF03}" name="Short Gain"/>
    <tableColumn id="4" xr3:uid="{06FA0A41-E10B-479F-AF84-8CC6F9B1530D}" name="Long Gain"/>
    <tableColumn id="5" xr3:uid="{80612BA1-8F98-4C98-BC60-25C8B52CA4CB}" name="Short Loss"/>
    <tableColumn id="6" xr3:uid="{3087D1BD-7ED5-4485-8A8B-92AB1107EA17}" name="Long Los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33073413-DC6F-4C44-876D-F0F5E603DB93}" name="vet_income_txn" displayName="vet_income_txn" ref="A4:Q5" totalsRowShown="0" headerRowDxfId="298" dataDxfId="297">
  <autoFilter ref="A4:Q5" xr:uid="{33073413-DC6F-4C44-876D-F0F5E603DB93}"/>
  <tableColumns count="17">
    <tableColumn id="1" xr3:uid="{EF25CF7B-5C9F-4638-9FCC-D0A69EDD305B}" name="Date of Buy/Income" dataDxfId="296"/>
    <tableColumn id="2" xr3:uid="{7C7BE736-A562-4989-921B-CACD8ABF8716}" name="Buy or Income" dataDxfId="295"/>
    <tableColumn id="3" xr3:uid="{71D6FD59-D746-4166-9793-7695A8B3DE6C}" name="Price/Coin" dataDxfId="294"/>
    <tableColumn id="4" xr3:uid="{A2E72D35-E5B7-46F7-AF5F-B29BF1F8D515}" name="Coins Gained" dataDxfId="293"/>
    <tableColumn id="5" xr3:uid="{8759894E-937A-4E6A-8ABD-AC7C86F3A0D3}" name="Value Gained" dataDxfId="292"/>
    <tableColumn id="6" xr3:uid="{BD2A8FE8-BD43-4170-B68A-B264B4F6DF7F}" name="Coins Sold (#)" dataDxfId="291"/>
    <tableColumn id="7" xr3:uid="{12EFD8A5-784F-45E4-94DF-796D0265A7D4}" name="Price Sold At" dataDxfId="290"/>
    <tableColumn id="8" xr3:uid="{A9133F86-175A-41ED-B986-BBA8BCD40219}" name="Realized Gain/Loss" dataDxfId="289"/>
    <tableColumn id="9" xr3:uid="{1D878ADD-B791-4993-A7B2-73C5B808F32A}" name="Sale Number" dataDxfId="288"/>
    <tableColumn id="10" xr3:uid="{708F91EA-0D74-403C-824C-6D9093ACB6E8}" name="Date of Sale" dataDxfId="287"/>
    <tableColumn id="11" xr3:uid="{B28EC945-6FC2-4A4B-A276-5E0BBEFFAAAA}" name="Cost Basis of Total Sale" dataDxfId="286"/>
    <tableColumn id="12" xr3:uid="{74B01781-FA3F-4B2D-965B-D6CB7416D6F6}" name="Value of Total Sale" dataDxfId="285"/>
    <tableColumn id="13" xr3:uid="{0AD68C25-0AFB-4901-A936-371FCA2A65C7}" name="&gt;1 Year?" dataDxfId="284"/>
    <tableColumn id="14" xr3:uid="{758FC245-AB13-4D51-B1B5-2DDAABBA42F4}" name="Total Sale Gain" dataDxfId="283"/>
    <tableColumn id="15" xr3:uid="{7A9D19A5-19F5-4814-ABB5-FE31CB1CB6BE}" name="% Gain Above 1 Year" dataDxfId="282"/>
    <tableColumn id="16" xr3:uid="{ACEAD8E6-6233-441B-8922-59698271DB98}" name="Total Sale Loss" dataDxfId="281"/>
    <tableColumn id="17" xr3:uid="{B783A9DC-E8BE-4CFB-B4DE-CD99580D7E6E}" name="% Loss Above 1 Year" dataDxfId="28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858528B8-557F-47B9-A6F7-2DBF436ED468}" name="vet_summary_tbl_txn" displayName="vet_summary_tbl_txn" ref="T4:AC5" totalsRowShown="0" headerRowDxfId="279" dataDxfId="278">
  <autoFilter ref="T4:AC5" xr:uid="{858528B8-557F-47B9-A6F7-2DBF436ED468}"/>
  <tableColumns count="10">
    <tableColumn id="1" xr3:uid="{5E375359-1E06-4448-9A1C-714208105892}" name="Sale Number:" dataDxfId="277"/>
    <tableColumn id="2" xr3:uid="{506791AF-E537-4056-B895-2C79F9D16587}" name="Date of Sale" dataDxfId="276"/>
    <tableColumn id="3" xr3:uid="{38B99892-3AC5-4FEB-96FC-E52CD4D59CFA}" name="Coins Sold (#)" dataDxfId="275"/>
    <tableColumn id="4" xr3:uid="{09915556-9919-4337-9C07-10AC1E8D12F0}" name="Sell Price:" dataDxfId="274"/>
    <tableColumn id="5" xr3:uid="{EBE757BB-9E5B-4579-BDC6-5565B77BAB1E}" name="Cost Basis of Sale" dataDxfId="273"/>
    <tableColumn id="6" xr3:uid="{B6A06137-E7FD-4A3C-991F-1FDBFD4CD92C}" name="Value of Sale" dataDxfId="272"/>
    <tableColumn id="7" xr3:uid="{3962BD10-5784-47CA-9A51-8ACEB15D993E}" name="Gain:" dataDxfId="271"/>
    <tableColumn id="8" xr3:uid="{8845945F-FD48-4A95-8D2D-DEA5E196AB0B}" name="% Gain Above 1 Year" dataDxfId="270"/>
    <tableColumn id="9" xr3:uid="{7B25CAC6-27A5-45AA-B287-3BEB97529E18}" name="Loss:" dataDxfId="269"/>
    <tableColumn id="10" xr3:uid="{1B1CF1A5-1EE8-40B8-A46C-BAFC104BE5E7}" name="% Loss Above 1 Year" dataDxfId="26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5AFC806C-C882-44D8-B10E-C55827D5043B}" name="vet_yearly_income_txn" displayName="vet_yearly_income_txn" ref="AE4:AG6" totalsRowShown="0" headerRowDxfId="267" dataDxfId="266">
  <autoFilter ref="AE4:AG6" xr:uid="{5AFC806C-C882-44D8-B10E-C55827D5043B}"/>
  <tableColumns count="3">
    <tableColumn id="1" xr3:uid="{9455D8B8-B845-4035-9D87-2BD2AB5F9E3D}" name="Year" dataDxfId="265"/>
    <tableColumn id="2" xr3:uid="{33B9FC4C-AEAA-4A2A-AF42-0DD84961E848}" name="Coins Total" dataDxfId="264"/>
    <tableColumn id="3" xr3:uid="{1ACDC21A-4B44-4902-BB44-5C173958B77A}" name="Income Earned" dataDxfId="26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57C3D713-D32B-462A-AB1D-C30055F86F90}" name="vet_year_sum_tbl_txn" displayName="vet_year_sum_tbl_txn" ref="AI4:AN5" totalsRowShown="0" headerRowDxfId="262">
  <autoFilter ref="AI4:AN5" xr:uid="{57C3D713-D32B-462A-AB1D-C30055F86F90}"/>
  <tableColumns count="6">
    <tableColumn id="1" xr3:uid="{427F7CC1-A213-42CB-873C-6FDB5995411C}" name="Year"/>
    <tableColumn id="2" xr3:uid="{2DA18847-2747-4DAE-ADC2-9BBC04A3CE2F}" name="Income"/>
    <tableColumn id="3" xr3:uid="{BACC60D1-F365-4E5B-BC8D-221228D96AE9}" name="Short Gain"/>
    <tableColumn id="4" xr3:uid="{15001CE3-F130-4459-8056-92D9FE89DA99}" name="Long Gain"/>
    <tableColumn id="5" xr3:uid="{BBD076CA-AEF3-4EBA-80C2-734C0860BF20}" name="Short Loss"/>
    <tableColumn id="6" xr3:uid="{7DC4AB1A-DB26-4D3E-9AEA-164A44AD0D9B}" name="Long Los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2986819-634F-4364-BE0B-270EBF9A73BE}" name="matic_income_txn" displayName="matic_income_txn" ref="A4:Q6" totalsRowShown="0" headerRowDxfId="261" dataDxfId="260">
  <autoFilter ref="A4:Q6" xr:uid="{02986819-634F-4364-BE0B-270EBF9A73BE}"/>
  <tableColumns count="17">
    <tableColumn id="1" xr3:uid="{8D06B1E7-C6D2-420E-8651-BB8201F754CD}" name="Date of Buy/Income" dataDxfId="259"/>
    <tableColumn id="2" xr3:uid="{DBDD465C-1DCB-4448-805C-882737EF26D1}" name="Buy or Income" dataDxfId="258"/>
    <tableColumn id="3" xr3:uid="{A836EBA0-D2F8-47DB-9FD4-5E3EA0805693}" name="Price/Coin" dataDxfId="257"/>
    <tableColumn id="4" xr3:uid="{586ABED1-C314-4DB5-B552-6D1FBCCDB874}" name="Coins Gained" dataDxfId="256"/>
    <tableColumn id="5" xr3:uid="{9A551ABC-5402-4190-82FB-86F87B72B6F3}" name="Value Gained" dataDxfId="255"/>
    <tableColumn id="6" xr3:uid="{D493B3BF-0437-4BE2-B912-B9C3D9FEF138}" name="Coins Sold (#)" dataDxfId="254"/>
    <tableColumn id="7" xr3:uid="{DE530D96-00D6-4517-B164-FA842E9A8289}" name="Price Sold At" dataDxfId="253"/>
    <tableColumn id="8" xr3:uid="{0B70612D-49F0-44AD-89A7-15B6263DA181}" name="Realized Gain/Loss" dataDxfId="252"/>
    <tableColumn id="9" xr3:uid="{7458E368-8ED6-43CA-BF6E-0AB4B4B20961}" name="Sale Number" dataDxfId="251"/>
    <tableColumn id="10" xr3:uid="{48BC77D4-DD86-439B-A99A-F69C826FF60C}" name="Date of Sale" dataDxfId="250"/>
    <tableColumn id="11" xr3:uid="{1E674CCF-3EFA-4B6E-BDA9-461328DF90CD}" name="Cost Basis of Total Sale" dataDxfId="249"/>
    <tableColumn id="12" xr3:uid="{416FD9E8-7558-4C01-ABD4-91873B911841}" name="Value of Total Sale" dataDxfId="248"/>
    <tableColumn id="13" xr3:uid="{A252F384-7E3D-4AEA-B3A9-AD73E8EF24E3}" name="&gt;1 Year?" dataDxfId="247"/>
    <tableColumn id="14" xr3:uid="{995AF836-C443-40C7-9B66-E37F9207D284}" name="Total Sale Gain" dataDxfId="246"/>
    <tableColumn id="15" xr3:uid="{C8569CA6-8694-42D7-886C-E1C114EAEFED}" name="% Gain Above 1 Year" dataDxfId="245"/>
    <tableColumn id="16" xr3:uid="{2D08C062-B8CF-4252-A7B8-F4FC6F86A7C4}" name="Total Sale Loss" dataDxfId="244"/>
    <tableColumn id="17" xr3:uid="{9C021892-7BD1-43CB-908C-4508DC30D5BB}" name="% Loss Above 1 Year" dataDxfId="2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A9175F4C-DE68-4C69-B340-FCC22A8937A2}" name="matic_summary_tbl_txn" displayName="matic_summary_tbl_txn" ref="T4:AC6" totalsRowShown="0" headerRowDxfId="242" dataDxfId="241">
  <autoFilter ref="T4:AC6" xr:uid="{A9175F4C-DE68-4C69-B340-FCC22A8937A2}"/>
  <tableColumns count="10">
    <tableColumn id="1" xr3:uid="{2ADEB291-6220-4B73-BAF9-CEC03E6FE27C}" name="Sale Number:" dataDxfId="240"/>
    <tableColumn id="2" xr3:uid="{67F272A8-65E0-40D0-B63A-6914A9E95219}" name="Date of Sale" dataDxfId="239"/>
    <tableColumn id="3" xr3:uid="{1036B5FF-60C6-4207-B329-2B3BD185B8D9}" name="Coins Sold (#)" dataDxfId="238"/>
    <tableColumn id="4" xr3:uid="{8FA0A310-53EE-452A-BBD1-9FA73F5F172C}" name="Sell Price:" dataDxfId="237"/>
    <tableColumn id="5" xr3:uid="{B2A326E3-72E6-4520-84D5-1681FD8F3F0D}" name="Cost Basis of Sale" dataDxfId="236"/>
    <tableColumn id="6" xr3:uid="{E5046AF3-D19E-4093-8AB7-33DC53243EC4}" name="Value of Sale" dataDxfId="235"/>
    <tableColumn id="7" xr3:uid="{EB9EB13F-2731-48F9-910D-204DF5ECD6FA}" name="Gain:" dataDxfId="234"/>
    <tableColumn id="8" xr3:uid="{0F3D6446-779B-49A4-83A2-B7EB00B98D35}" name="% Gain Above 1 Year" dataDxfId="233"/>
    <tableColumn id="9" xr3:uid="{CB13502E-9149-4248-8097-B368C235F6F1}" name="Loss:" dataDxfId="232"/>
    <tableColumn id="10" xr3:uid="{2D575293-4C69-4166-A172-03D824D275A5}" name="% Loss Above 1 Year" dataDxfId="23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C86792D1-8595-4F58-B685-0791B2FD7867}" name="matic_yearly_income_txn" displayName="matic_yearly_income_txn" ref="AE4:AG6" totalsRowShown="0" headerRowDxfId="230" dataDxfId="229">
  <autoFilter ref="AE4:AG6" xr:uid="{C86792D1-8595-4F58-B685-0791B2FD7867}"/>
  <tableColumns count="3">
    <tableColumn id="1" xr3:uid="{3AEDE88C-BC69-41B3-A21C-22582D165632}" name="Year" dataDxfId="228"/>
    <tableColumn id="2" xr3:uid="{1279C689-74C1-478B-83BB-D50FDBD0969E}" name="Coins Total" dataDxfId="227"/>
    <tableColumn id="3" xr3:uid="{939AD17F-2536-46A7-86FD-44A9820D1CDD}" name="Income Earned" dataDxfId="22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170B4F3B-8C1F-47A8-AFCC-0289D903C541}" name="matic_year_sum_tbl_txn" displayName="matic_year_sum_tbl_txn" ref="AI4:AN5" totalsRowShown="0" headerRowDxfId="225">
  <autoFilter ref="AI4:AN5" xr:uid="{170B4F3B-8C1F-47A8-AFCC-0289D903C541}"/>
  <tableColumns count="6">
    <tableColumn id="1" xr3:uid="{335A4394-76C9-4A6D-B09D-951DE5676765}" name="Year"/>
    <tableColumn id="2" xr3:uid="{519BE63B-9C90-46FA-B198-8019CD907CD9}" name="Income"/>
    <tableColumn id="3" xr3:uid="{A824AEB0-F7BB-4449-BE5A-6EC68C916CCF}" name="Short Gain"/>
    <tableColumn id="4" xr3:uid="{D4FB5FC3-5589-4F86-A511-3D0F821F8088}" name="Long Gain"/>
    <tableColumn id="5" xr3:uid="{0B76E6F9-D185-4996-89A0-7EB8D157A550}" name="Short Loss"/>
    <tableColumn id="6" xr3:uid="{E5304ABE-6405-4845-911B-3E511A1298F4}" name="Long Los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A5828B24-E2EC-48A6-99CC-7249AE1E9683}" name="ctsi_income_txn" displayName="ctsi_income_txn" ref="A4:Q5" totalsRowShown="0" headerRowDxfId="224" dataDxfId="223">
  <autoFilter ref="A4:Q5" xr:uid="{A5828B24-E2EC-48A6-99CC-7249AE1E9683}"/>
  <tableColumns count="17">
    <tableColumn id="1" xr3:uid="{7AD325D3-C90B-4903-975C-E42386FBF59C}" name="Date of Buy/Income" dataDxfId="222"/>
    <tableColumn id="2" xr3:uid="{85BFB278-EEC4-4CDD-B59E-F24C27990DBD}" name="Buy or Income" dataDxfId="221"/>
    <tableColumn id="3" xr3:uid="{213ABBB7-E1D0-4A7B-950E-DAFF77F51C36}" name="Price/Coin" dataDxfId="220"/>
    <tableColumn id="4" xr3:uid="{AAAD49E0-987B-406D-9684-E12FD5CEDC1F}" name="Coins Gained" dataDxfId="219"/>
    <tableColumn id="5" xr3:uid="{1EB6967E-E65C-492C-A97C-0F31F2451950}" name="Value Gained" dataDxfId="218"/>
    <tableColumn id="6" xr3:uid="{BEE0E634-4492-4D05-B6F6-EAF116840D0F}" name="Coins Sold (#)" dataDxfId="217"/>
    <tableColumn id="7" xr3:uid="{908EF8F3-86DE-4C08-B59F-F02E5D9DDC86}" name="Price Sold At" dataDxfId="216"/>
    <tableColumn id="8" xr3:uid="{6C624E1B-08FE-4E06-969C-045DFD9DFE84}" name="Realized Gain/Loss" dataDxfId="215"/>
    <tableColumn id="9" xr3:uid="{A330317C-3B6A-4E66-A3A4-7A8B1D878B4A}" name="Sale Number" dataDxfId="214"/>
    <tableColumn id="10" xr3:uid="{D2752C7C-0DA5-440F-A572-13CE3FDAE854}" name="Date of Sale" dataDxfId="213"/>
    <tableColumn id="11" xr3:uid="{1EF91B8E-0C8F-4A7B-8C1C-7CA81E6E9202}" name="Cost Basis of Total Sale" dataDxfId="212"/>
    <tableColumn id="12" xr3:uid="{ECF6A6DB-7075-4527-A408-58A97CFBCFFA}" name="Value of Total Sale" dataDxfId="211"/>
    <tableColumn id="13" xr3:uid="{441ACAD6-1B15-40D6-97BB-77C0FC66DFEE}" name="&gt;1 Year?" dataDxfId="210"/>
    <tableColumn id="14" xr3:uid="{AEBE9FBA-563F-49B7-801B-BDA1930165AB}" name="Total Sale Gain" dataDxfId="209"/>
    <tableColumn id="15" xr3:uid="{17B41617-1D66-455D-9AA1-45D336C936C1}" name="% Gain Above 1 Year" dataDxfId="208"/>
    <tableColumn id="16" xr3:uid="{E047FEE9-21D8-4D55-A2CC-D46F02E44881}" name="Total Sale Loss" dataDxfId="207"/>
    <tableColumn id="17" xr3:uid="{D0264CA0-8120-4947-BA36-35536679B3C1}" name="% Loss Above 1 Year" dataDxfId="20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19395281-0903-4027-9F27-5DFD2CB2894B}" name="ctsi_summary_tbl_txn" displayName="ctsi_summary_tbl_txn" ref="T4:AC5" totalsRowShown="0" headerRowDxfId="205" dataDxfId="204">
  <autoFilter ref="T4:AC5" xr:uid="{19395281-0903-4027-9F27-5DFD2CB2894B}"/>
  <tableColumns count="10">
    <tableColumn id="1" xr3:uid="{A806DB60-7C87-4A3D-8674-E93B37FC2C66}" name="Sale Number:" dataDxfId="203"/>
    <tableColumn id="2" xr3:uid="{A685F5C3-E3D8-4BC8-AFFF-E8EF71B8D933}" name="Date of Sale" dataDxfId="202"/>
    <tableColumn id="3" xr3:uid="{0BD7B1F1-73AA-404F-A6E0-5AD962745411}" name="Coins Sold (#)" dataDxfId="201"/>
    <tableColumn id="4" xr3:uid="{A8418C64-FB3A-4808-B6F1-77A923DF1551}" name="Sell Price:" dataDxfId="200"/>
    <tableColumn id="5" xr3:uid="{5DBF29F4-00E6-4A9C-A12E-2A82DC5D80FA}" name="Cost Basis of Sale" dataDxfId="199"/>
    <tableColumn id="6" xr3:uid="{41DCFFF0-2901-49B3-B5BA-72972D7F708B}" name="Value of Sale" dataDxfId="198"/>
    <tableColumn id="7" xr3:uid="{9D13AD5E-041F-41DD-9B11-588F0C830E46}" name="Gain:" dataDxfId="197"/>
    <tableColumn id="8" xr3:uid="{BA8CBE5A-1517-4D2C-8E62-E783926275B1}" name="% Gain Above 1 Year" dataDxfId="196"/>
    <tableColumn id="9" xr3:uid="{3D8959C7-C87F-4E64-AD8F-FE0E9B50F626}" name="Loss:" dataDxfId="195"/>
    <tableColumn id="10" xr3:uid="{28CA56DA-D66D-40A0-A99E-6B7AC06B7094}" name="% Loss Above 1 Year" dataDxfId="19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22359E17-4FAE-4FBC-A188-C5236B78A2A7}" name="ctsi_yearly_income_txn" displayName="ctsi_yearly_income_txn" ref="AE4:AG6" totalsRowShown="0" headerRowDxfId="193" dataDxfId="192">
  <autoFilter ref="AE4:AG6" xr:uid="{22359E17-4FAE-4FBC-A188-C5236B78A2A7}"/>
  <tableColumns count="3">
    <tableColumn id="1" xr3:uid="{2BE46F94-7AD3-4F3E-B691-A467C38C1BC4}" name="Year" dataDxfId="191"/>
    <tableColumn id="2" xr3:uid="{C01DA819-3E62-47EB-84DF-ECD3116108CC}" name="Coins Total" dataDxfId="190"/>
    <tableColumn id="3" xr3:uid="{3E604995-322B-44D6-B7D8-9F5961BADEDF}" name="Income Earned" dataDxfId="18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5AABB389-FAD6-40E1-BD78-DFD269AF7F88}" name="ctsi_year_sum_tbl_txn" displayName="ctsi_year_sum_tbl_txn" ref="AI4:AN5" totalsRowShown="0" headerRowDxfId="188">
  <autoFilter ref="AI4:AN5" xr:uid="{5AABB389-FAD6-40E1-BD78-DFD269AF7F88}"/>
  <tableColumns count="6">
    <tableColumn id="1" xr3:uid="{3515775D-2085-401A-9DB3-6CFFD0E0E3C0}" name="Year"/>
    <tableColumn id="2" xr3:uid="{DF209EF1-B920-4062-9A85-EC33492928E3}" name="Income"/>
    <tableColumn id="3" xr3:uid="{66475C62-123C-4C67-808B-15EC71DA6EA8}" name="Short Gain"/>
    <tableColumn id="4" xr3:uid="{ED7EC6BC-61FD-43A7-8FF6-83BA03EBC24B}" name="Long Gain"/>
    <tableColumn id="5" xr3:uid="{D636F06F-0621-48F0-837F-4534A43BFDF7}" name="Short Loss"/>
    <tableColumn id="6" xr3:uid="{272FD696-0DCD-4A00-BDEA-C2DE7B3B37A5}" name="Long Loss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57CFD23-190A-4799-830E-35B1614712CC}" name="eth_income_txn" displayName="eth_income_txn" ref="A4:Q8" totalsRowShown="0" headerRowDxfId="187" dataDxfId="186">
  <autoFilter ref="A4:Q8" xr:uid="{057CFD23-190A-4799-830E-35B1614712CC}"/>
  <tableColumns count="17">
    <tableColumn id="1" xr3:uid="{AA80AC52-8499-4FB0-97B3-857338E0AD75}" name="Date of Buy/Income" dataDxfId="185"/>
    <tableColumn id="2" xr3:uid="{053FC429-4506-49A0-8AB3-628457986031}" name="Buy or Income" dataDxfId="184"/>
    <tableColumn id="3" xr3:uid="{B863D6A5-3851-412D-A912-4E49FDEEF224}" name="Price/Coin" dataDxfId="183"/>
    <tableColumn id="4" xr3:uid="{80396CBE-05D1-41E2-B1C1-76EA9E3B551F}" name="Coins Gained" dataDxfId="182"/>
    <tableColumn id="5" xr3:uid="{5F5C15FF-00E6-4078-BF88-0A72DB12D142}" name="Value Gained" dataDxfId="181"/>
    <tableColumn id="6" xr3:uid="{480A7E61-6565-4F41-B866-0327D889DE08}" name="Coins Sold (#)" dataDxfId="180"/>
    <tableColumn id="7" xr3:uid="{AF6BB8A5-9B2C-4412-B210-A0CB668FB03F}" name="Price Sold At" dataDxfId="179"/>
    <tableColumn id="8" xr3:uid="{C36DEEE0-8192-4BE8-9C08-1B1BE008F5AA}" name="Realized Gain/Loss" dataDxfId="178"/>
    <tableColumn id="9" xr3:uid="{928C06CF-E6A4-4451-9B18-6334A6C196E2}" name="Sale Number" dataDxfId="177"/>
    <tableColumn id="10" xr3:uid="{91EE5C06-E326-479D-AABF-9BD0D4D97DED}" name="Date of Sale" dataDxfId="176"/>
    <tableColumn id="11" xr3:uid="{C896DA6C-1CC2-43AF-B2B8-B05744B1926E}" name="Cost Basis of Total Sale" dataDxfId="175"/>
    <tableColumn id="12" xr3:uid="{EA43A1E4-1E71-4153-84DB-C8A2B5706923}" name="Value of Total Sale" dataDxfId="174"/>
    <tableColumn id="13" xr3:uid="{F975C458-3CEC-4E7A-A762-A3BD802E6792}" name="&gt;1 Year?" dataDxfId="173"/>
    <tableColumn id="14" xr3:uid="{97F97E88-21EA-4EA2-95F3-D7C83E586C77}" name="Total Sale Gain" dataDxfId="172"/>
    <tableColumn id="15" xr3:uid="{DA7D7B9F-FC9D-4F81-BAA7-5927241754C9}" name="% Gain Above 1 Year" dataDxfId="171"/>
    <tableColumn id="16" xr3:uid="{F4B5158C-8A97-4D91-A8E7-94BB1D8BFEDB}" name="Total Sale Loss" dataDxfId="170"/>
    <tableColumn id="17" xr3:uid="{E06F30B1-2C2C-4DEA-8FA9-F9C7B0D54D2D}" name="% Loss Above 1 Year" dataDxfId="169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1A8E2703-F079-42B7-BA5E-5720761D7ED2}" name="eth_summary_tbl_txn" displayName="eth_summary_tbl_txn" ref="T4:AC7" totalsRowShown="0" headerRowDxfId="168" dataDxfId="167">
  <autoFilter ref="T4:AC7" xr:uid="{1A8E2703-F079-42B7-BA5E-5720761D7ED2}"/>
  <tableColumns count="10">
    <tableColumn id="1" xr3:uid="{3E117914-DA23-47BB-99A9-A732FFFEE3B2}" name="Sale Number:" dataDxfId="166"/>
    <tableColumn id="2" xr3:uid="{BB767EC3-EE6D-4806-AC99-12C34EBF97D2}" name="Date of Sale" dataDxfId="165"/>
    <tableColumn id="3" xr3:uid="{0D83ECB4-F7BE-4551-8B2E-59F88F4FE36B}" name="Coins Sold (#)" dataDxfId="164"/>
    <tableColumn id="4" xr3:uid="{84DE42C1-8A15-4E73-9F52-067AEB02B7CD}" name="Sell Price:" dataDxfId="163"/>
    <tableColumn id="5" xr3:uid="{DE0B72E8-B331-49B9-9F45-8DF41643F58D}" name="Cost Basis of Sale" dataDxfId="162"/>
    <tableColumn id="6" xr3:uid="{98057AB4-BA29-40F3-9C2F-F31576750F0C}" name="Value of Sale" dataDxfId="161"/>
    <tableColumn id="7" xr3:uid="{C804135D-C758-4ACE-A49F-7FD2913B2B7B}" name="Gain:" dataDxfId="160"/>
    <tableColumn id="8" xr3:uid="{24F720C3-EF87-47C3-B1C9-F2F7A32304A2}" name="% Gain Above 1 Year" dataDxfId="159"/>
    <tableColumn id="9" xr3:uid="{61170418-3B3C-4B41-A632-5515AADF11C1}" name="Loss:" dataDxfId="158"/>
    <tableColumn id="10" xr3:uid="{6F270CF5-1B7C-46A3-8526-2A3B5C2A4DC0}" name="% Loss Above 1 Year" dataDxfId="157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271E7844-894D-4FDE-8153-2786BBC053DC}" name="eth_yearly_income_txn" displayName="eth_yearly_income_txn" ref="AE4:AG6" totalsRowShown="0" headerRowDxfId="156" dataDxfId="155">
  <autoFilter ref="AE4:AG6" xr:uid="{271E7844-894D-4FDE-8153-2786BBC053DC}"/>
  <tableColumns count="3">
    <tableColumn id="1" xr3:uid="{19566C54-D1E0-4309-BE45-E0F2DAFE64F6}" name="Year" dataDxfId="154"/>
    <tableColumn id="2" xr3:uid="{2AC14CE8-1945-4038-98C8-7223A9CB496D}" name="Coins Total" dataDxfId="153"/>
    <tableColumn id="3" xr3:uid="{5C62B36F-0271-428C-9A5F-19649B3E6C1D}" name="Income Earned" dataDxfId="15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1B4EFF2-C56B-4364-A763-1140131C8775}" name="eth_year_sum_tbl_txn" displayName="eth_year_sum_tbl_txn" ref="AI4:AN5" totalsRowShown="0" headerRowDxfId="151">
  <autoFilter ref="AI4:AN5" xr:uid="{91B4EFF2-C56B-4364-A763-1140131C8775}"/>
  <tableColumns count="6">
    <tableColumn id="1" xr3:uid="{29A5A9B4-FC8D-49C8-9684-4798F0FD904E}" name="Year"/>
    <tableColumn id="2" xr3:uid="{6B5C528D-226D-40BD-A4D9-1198F23A4A77}" name="Income"/>
    <tableColumn id="3" xr3:uid="{B8A293FC-5892-4070-B6C2-0A7E6A696EED}" name="Short Gain"/>
    <tableColumn id="4" xr3:uid="{C44EF0B0-85D0-437F-81D4-CED5304FE50E}" name="Long Gain"/>
    <tableColumn id="5" xr3:uid="{49B3C4B5-2DE7-49F3-8F01-C2C68E3B0BDC}" name="Short Loss"/>
    <tableColumn id="6" xr3:uid="{73A4DCCF-90E4-445B-949A-48E476CEFDFB}" name="Long Loss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776C983B-12DF-41DA-B249-E7033EB780C6}" name="hnt_income_txn" displayName="hnt_income_txn" ref="A4:Q7" totalsRowShown="0" headerRowDxfId="150" dataDxfId="149">
  <autoFilter ref="A4:Q7" xr:uid="{776C983B-12DF-41DA-B249-E7033EB780C6}"/>
  <tableColumns count="17">
    <tableColumn id="1" xr3:uid="{973AD32A-FBB8-42A1-82AF-5FAED6E529FE}" name="Date of Buy/Income" dataDxfId="148"/>
    <tableColumn id="2" xr3:uid="{51B5954B-C9F9-4628-9ECB-095D38671EDF}" name="Buy or Income" dataDxfId="147"/>
    <tableColumn id="3" xr3:uid="{276B2967-5388-4445-B7A8-40349799C9DA}" name="Price/Coin" dataDxfId="146"/>
    <tableColumn id="4" xr3:uid="{3BB8CAD9-DAF8-4D51-9B22-442E32C86F35}" name="Coins Gained" dataDxfId="145"/>
    <tableColumn id="5" xr3:uid="{57ED2C20-A52C-4E8F-B6C3-59B1ACA99E64}" name="Value Gained" dataDxfId="144"/>
    <tableColumn id="6" xr3:uid="{E251B591-C486-4BF6-85BF-4D4D007FA32D}" name="Coins Sold (#)" dataDxfId="143"/>
    <tableColumn id="7" xr3:uid="{DB7B2E19-87D6-4A0E-A16D-A2AE429414FD}" name="Price Sold At" dataDxfId="142"/>
    <tableColumn id="8" xr3:uid="{1C78A4FA-BAF4-4DC1-8D11-992B5E264A9E}" name="Realized Gain/Loss" dataDxfId="141"/>
    <tableColumn id="9" xr3:uid="{7EBB8C26-B34D-49EA-86FD-40BCE70BA27D}" name="Sale Number" dataDxfId="140"/>
    <tableColumn id="10" xr3:uid="{A1F01A44-CB98-428D-B15A-F98E8BA2FF6B}" name="Date of Sale" dataDxfId="139"/>
    <tableColumn id="11" xr3:uid="{AFD2A561-7CD3-4E8F-AC98-D98688A86A21}" name="Cost Basis of Total Sale" dataDxfId="138"/>
    <tableColumn id="12" xr3:uid="{E9EC4A3E-6D3F-425D-8A6C-1B13C289D596}" name="Value of Total Sale" dataDxfId="137"/>
    <tableColumn id="13" xr3:uid="{59F6C69B-1F18-46E8-B594-61833AD99855}" name="&gt;1 Year?" dataDxfId="136"/>
    <tableColumn id="14" xr3:uid="{DAA7D413-2710-4C33-B77A-893BA7979FEE}" name="Total Sale Gain" dataDxfId="135"/>
    <tableColumn id="15" xr3:uid="{7EFBF77F-6C91-46F3-B84C-AE48A28D0920}" name="% Gain Above 1 Year" dataDxfId="134"/>
    <tableColumn id="16" xr3:uid="{D1BAE202-2DDA-4658-BE8C-F01DDC7627FE}" name="Total Sale Loss" dataDxfId="133"/>
    <tableColumn id="17" xr3:uid="{87B60FDF-8BF7-4494-A0CD-ABDA2A5F03EE}" name="% Loss Above 1 Year" dataDxfId="13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D2C69F7B-7CFB-4BDA-8FC9-0F518E36342E}" name="hnt_summary_tbl_txn" displayName="hnt_summary_tbl_txn" ref="T4:AC5" totalsRowShown="0" headerRowDxfId="131" dataDxfId="130">
  <autoFilter ref="T4:AC5" xr:uid="{D2C69F7B-7CFB-4BDA-8FC9-0F518E36342E}"/>
  <tableColumns count="10">
    <tableColumn id="1" xr3:uid="{A6D5968B-F558-473E-AB81-ADDA2EBE3096}" name="Sale Number:" dataDxfId="129"/>
    <tableColumn id="2" xr3:uid="{D2FE7CDF-F605-4247-B5D6-944E28E7C8BC}" name="Date of Sale" dataDxfId="128"/>
    <tableColumn id="3" xr3:uid="{BA818FDA-8CF6-43B4-9BBD-6608C5869072}" name="Coins Sold (#)" dataDxfId="127"/>
    <tableColumn id="4" xr3:uid="{BA430E9B-291B-46AC-8C99-1F3A3D372DCE}" name="Sell Price:" dataDxfId="126"/>
    <tableColumn id="5" xr3:uid="{0385FC0F-5D63-4DD6-A02F-FC6E4B42AEA4}" name="Cost Basis of Sale" dataDxfId="125"/>
    <tableColumn id="6" xr3:uid="{D0AAA4FE-B3B3-4866-A0FD-8D9A0ECDFABA}" name="Value of Sale" dataDxfId="124"/>
    <tableColumn id="7" xr3:uid="{5DC33DCC-E204-4586-BFA8-EF5398CC8EFC}" name="Gain:" dataDxfId="123"/>
    <tableColumn id="8" xr3:uid="{E4CBEC0D-EF95-48BB-A4C9-B527639B21CA}" name="% Gain Above 1 Year" dataDxfId="122"/>
    <tableColumn id="9" xr3:uid="{1DA5C77B-6282-4BF8-9E4C-34E11A05465F}" name="Loss:" dataDxfId="121"/>
    <tableColumn id="10" xr3:uid="{E44B14CF-21FA-4B00-A2B0-5AD7EC66206C}" name="% Loss Above 1 Year" dataDxfId="120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17F75BFB-C864-4851-B466-95CBB97A5454}" name="hnt_yearly_income_txn" displayName="hnt_yearly_income_txn" ref="AE4:AG6" totalsRowShown="0" headerRowDxfId="119" dataDxfId="118">
  <autoFilter ref="AE4:AG6" xr:uid="{17F75BFB-C864-4851-B466-95CBB97A5454}"/>
  <tableColumns count="3">
    <tableColumn id="1" xr3:uid="{807DEA7B-20CD-48F1-A75D-028BF038135E}" name="Year" dataDxfId="117"/>
    <tableColumn id="2" xr3:uid="{C746F2AB-8554-4F80-A399-5C0A049BF328}" name="Coins Total" dataDxfId="116"/>
    <tableColumn id="3" xr3:uid="{8C31073D-0B5E-43D9-9452-17AE07A8356B}" name="Income Earned" dataDxfId="11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8300D4D9-38B9-4149-84D9-DD991011B93A}" name="hnt_year_sum_tbl_txn" displayName="hnt_year_sum_tbl_txn" ref="AI4:AN5" totalsRowShown="0" headerRowDxfId="114">
  <autoFilter ref="AI4:AN5" xr:uid="{8300D4D9-38B9-4149-84D9-DD991011B93A}"/>
  <tableColumns count="6">
    <tableColumn id="1" xr3:uid="{1D3004BB-F501-4B90-A6EC-B37AC2BDD64B}" name="Year"/>
    <tableColumn id="2" xr3:uid="{AE28ED16-2576-458B-BD5A-3E2F62BC73A1}" name="Income"/>
    <tableColumn id="3" xr3:uid="{5F0D41A6-9C9D-4945-9AF5-0C6F63606D98}" name="Short Gain"/>
    <tableColumn id="4" xr3:uid="{14E003DD-D491-48F0-8EA1-B71D2348A9A8}" name="Long Gain"/>
    <tableColumn id="5" xr3:uid="{4FD6CB5B-348F-4041-8BEA-8A5437ABEFD3}" name="Short Loss"/>
    <tableColumn id="6" xr3:uid="{E7ADEA3E-D1D3-4655-A89A-6F88FA0749B7}" name="Long Loss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8ACA5A59-3FA0-48C1-AEB8-CACEC68ED6D5}" name="bnb_income_txn" displayName="bnb_income_txn" ref="A4:Q73" totalsRowShown="0" headerRowDxfId="113" dataDxfId="112">
  <autoFilter ref="A4:Q73" xr:uid="{8ACA5A59-3FA0-48C1-AEB8-CACEC68ED6D5}"/>
  <tableColumns count="17">
    <tableColumn id="1" xr3:uid="{60C5D9A1-A8BC-417E-9802-DDC6693CEF5B}" name="Date of Buy/Income" dataDxfId="111"/>
    <tableColumn id="2" xr3:uid="{1AE02E8D-9FE6-45DB-B6FB-78AB9B82B03A}" name="Buy or Income" dataDxfId="110"/>
    <tableColumn id="3" xr3:uid="{42F2BD0C-4E06-4433-B248-1EB6FF46091D}" name="Price/Coin" dataDxfId="109"/>
    <tableColumn id="4" xr3:uid="{7FADC9DD-691E-4AF3-AB64-1354D31D1565}" name="Coins Gained" dataDxfId="108"/>
    <tableColumn id="5" xr3:uid="{FBB39842-C92E-45B3-81B5-50F0244DE29A}" name="Value Gained" dataDxfId="107"/>
    <tableColumn id="6" xr3:uid="{257C7C56-11AA-4CDB-B5BF-4C0849493691}" name="Coins Sold (#)" dataDxfId="106"/>
    <tableColumn id="7" xr3:uid="{60D521CC-454D-41B1-9DC3-10FFAB439FE7}" name="Price Sold At" dataDxfId="105"/>
    <tableColumn id="8" xr3:uid="{3BDDCE60-2403-45A4-883E-D2338A26A000}" name="Realized Gain/Loss" dataDxfId="104"/>
    <tableColumn id="9" xr3:uid="{AAEF7936-DC32-4EE1-A399-EE1C78527FDB}" name="Sale Number" dataDxfId="103"/>
    <tableColumn id="10" xr3:uid="{2134D6DD-19B8-4CB3-A2BF-3C0179BB1B22}" name="Date of Sale" dataDxfId="102"/>
    <tableColumn id="11" xr3:uid="{09745C82-8DC9-4FE8-AD3A-906D5358FB91}" name="Cost Basis of Total Sale" dataDxfId="101"/>
    <tableColumn id="12" xr3:uid="{A0A875CF-F721-4FBE-A912-1D5FA74D9658}" name="Value of Total Sale" dataDxfId="100"/>
    <tableColumn id="13" xr3:uid="{92945121-9A4B-4B89-AABF-289F8CCAD516}" name="&gt;1 Year?" dataDxfId="99"/>
    <tableColumn id="14" xr3:uid="{F6A33BCF-9EAF-4C6C-AC40-373020F8AA8B}" name="Total Sale Gain" dataDxfId="98"/>
    <tableColumn id="15" xr3:uid="{A5F63D62-FEB3-4CEE-8549-418FF9E08C50}" name="% Gain Above 1 Year" dataDxfId="97"/>
    <tableColumn id="16" xr3:uid="{A52D62BF-C303-4024-B997-88A9057B9167}" name="Total Sale Loss" dataDxfId="96"/>
    <tableColumn id="17" xr3:uid="{46D38E90-CCAA-4D4E-B9B5-EC29F52F1D72}" name="% Loss Above 1 Year" dataDxfId="9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F4967924-79B7-41D4-BC5B-D677A66E4DF7}" name="bnb_summary_tbl_txn" displayName="bnb_summary_tbl_txn" ref="T4:AC59" totalsRowShown="0" headerRowDxfId="94" dataDxfId="93">
  <autoFilter ref="T4:AC59" xr:uid="{F4967924-79B7-41D4-BC5B-D677A66E4DF7}"/>
  <tableColumns count="10">
    <tableColumn id="1" xr3:uid="{EBB04D32-9973-43EB-8732-CBF7048131A9}" name="Sale Number:" dataDxfId="92"/>
    <tableColumn id="2" xr3:uid="{59A89B0E-8353-4EAC-8F51-3CF3870E5399}" name="Date of Sale" dataDxfId="91"/>
    <tableColumn id="3" xr3:uid="{20E62956-D8F0-4A42-A9DB-FDED01667A4D}" name="Coins Sold (#)" dataDxfId="90"/>
    <tableColumn id="4" xr3:uid="{E266A03F-4B02-43FB-A747-7A2181088E6B}" name="Sell Price:" dataDxfId="89"/>
    <tableColumn id="5" xr3:uid="{37928ED3-7BE3-47EF-BAE2-2177BC0D0B22}" name="Cost Basis of Sale" dataDxfId="88"/>
    <tableColumn id="6" xr3:uid="{770F2687-1337-4D55-B647-FA202FFB1BBE}" name="Value of Sale" dataDxfId="87"/>
    <tableColumn id="7" xr3:uid="{A502D78D-BB45-4078-994E-8D0B22A9315D}" name="Gain:" dataDxfId="86"/>
    <tableColumn id="8" xr3:uid="{DA7A9BBB-573A-43C3-8233-A60BE68E1197}" name="% Gain Above 1 Year" dataDxfId="85"/>
    <tableColumn id="9" xr3:uid="{6C0E4269-7B50-42F2-B844-62163D42F516}" name="Loss:" dataDxfId="84"/>
    <tableColumn id="10" xr3:uid="{5B79A6B7-4A32-4F98-BD38-746A7D20BF5C}" name="% Loss Above 1 Year" dataDxfId="8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13A68A49-3604-4DE6-AE00-E6DBF0F7ED3B}" name="bnb_yearly_income_txn" displayName="bnb_yearly_income_txn" ref="AE4:AG6" totalsRowShown="0" headerRowDxfId="82" dataDxfId="81">
  <autoFilter ref="AE4:AG6" xr:uid="{13A68A49-3604-4DE6-AE00-E6DBF0F7ED3B}"/>
  <tableColumns count="3">
    <tableColumn id="1" xr3:uid="{B29A0ECC-DD9F-48C1-A834-85AAB94D2DA3}" name="Year" dataDxfId="80"/>
    <tableColumn id="2" xr3:uid="{14D74247-D171-4684-AB2E-03C6CED36E72}" name="Coins Total" dataDxfId="79"/>
    <tableColumn id="3" xr3:uid="{F16E5859-3EED-487E-9DBE-A22BA57DAB7C}" name="Income Earned" dataDxfId="78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3524E34B-11A2-46F7-BCDA-EDA04BC8110A}" name="bnb_year_sum_tbl_txn" displayName="bnb_year_sum_tbl_txn" ref="AI4:AN6" totalsRowShown="0" headerRowDxfId="77">
  <autoFilter ref="AI4:AN6" xr:uid="{3524E34B-11A2-46F7-BCDA-EDA04BC8110A}"/>
  <tableColumns count="6">
    <tableColumn id="1" xr3:uid="{86E59FF3-B478-43B5-A7BA-E8821F443D10}" name="Year"/>
    <tableColumn id="2" xr3:uid="{2510F6B6-C2F0-4D6B-BE6D-5CE48BBC2D2F}" name="Income"/>
    <tableColumn id="3" xr3:uid="{30D7D4ED-66C7-449C-9151-17A27A0B484B}" name="Short Gain"/>
    <tableColumn id="4" xr3:uid="{676E8DE3-D57B-4F83-8B5D-C0821491A41D}" name="Long Gain"/>
    <tableColumn id="5" xr3:uid="{80D2247F-E123-441A-A8B2-E045D32076F3}" name="Short Loss"/>
    <tableColumn id="6" xr3:uid="{C24FDD1B-6C84-4A13-8DEC-9A68D1364228}" name="Long Loss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1EDCA7F2-6C98-4CDB-B11E-3201D591185A}" name="doge_income_txn" displayName="doge_income_txn" ref="A4:Q5" totalsRowShown="0" headerRowDxfId="76" dataDxfId="75">
  <autoFilter ref="A4:Q5" xr:uid="{1EDCA7F2-6C98-4CDB-B11E-3201D591185A}"/>
  <tableColumns count="17">
    <tableColumn id="1" xr3:uid="{2B5F449D-7EF2-420C-84FB-524186916416}" name="Date of Buy/Income" dataDxfId="74"/>
    <tableColumn id="2" xr3:uid="{BD2B7003-4DCF-480C-994B-3CD5C65CA6B1}" name="Buy or Income" dataDxfId="73"/>
    <tableColumn id="3" xr3:uid="{4EC74F19-51E4-4705-A7BA-8E0FB5EC4DCD}" name="Price/Coin" dataDxfId="72"/>
    <tableColumn id="4" xr3:uid="{47BBC8F6-C525-4818-AC98-D5C7F66B84F9}" name="Coins Gained" dataDxfId="71"/>
    <tableColumn id="5" xr3:uid="{BAD5B2BA-09BE-4A6E-B249-F92AA216F270}" name="Value Gained" dataDxfId="70"/>
    <tableColumn id="6" xr3:uid="{2A61F498-FE4B-437F-BD36-6A64D0A6FBA0}" name="Coins Sold (#)" dataDxfId="69"/>
    <tableColumn id="7" xr3:uid="{A6EB4467-CD3D-41AA-A68D-32BCCEA21F35}" name="Price Sold At" dataDxfId="68"/>
    <tableColumn id="8" xr3:uid="{8B14C666-A327-4BDD-91A0-057C0D062718}" name="Realized Gain/Loss" dataDxfId="67"/>
    <tableColumn id="9" xr3:uid="{E8DBE302-763F-4141-BFEF-AF75BE4C9AB4}" name="Sale Number" dataDxfId="66"/>
    <tableColumn id="10" xr3:uid="{3B43FC78-D089-4199-9268-E22A3CB4BB1C}" name="Date of Sale" dataDxfId="65"/>
    <tableColumn id="11" xr3:uid="{B56C6F5F-A5F0-4CA0-983C-AEDF9B6DA6EF}" name="Cost Basis of Total Sale" dataDxfId="64"/>
    <tableColumn id="12" xr3:uid="{EE7895AC-9DD9-4C06-BC50-A2275622517D}" name="Value of Total Sale" dataDxfId="63"/>
    <tableColumn id="13" xr3:uid="{3A23E76D-985B-41E1-B4AF-AE3CE4AA5800}" name="&gt;1 Year?" dataDxfId="62"/>
    <tableColumn id="14" xr3:uid="{F0DE60E3-F654-4F49-BA14-9FE298FC7A45}" name="Total Sale Gain" dataDxfId="61"/>
    <tableColumn id="15" xr3:uid="{D0FF2C8F-1097-4E50-AE48-343FBAD6493D}" name="% Gain Above 1 Year" dataDxfId="60"/>
    <tableColumn id="16" xr3:uid="{5E712218-7E2A-4093-BB51-5412847DDB4C}" name="Total Sale Loss" dataDxfId="59"/>
    <tableColumn id="17" xr3:uid="{ECF20445-494B-4B55-89B2-A44688B5A9E2}" name="% Loss Above 1 Year" dataDxfId="58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D2B3CF45-440D-4F69-AC3A-AB7CA7B035DB}" name="doge_summary_tbl_txn" displayName="doge_summary_tbl_txn" ref="T4:AC5" totalsRowShown="0" headerRowDxfId="57" dataDxfId="56">
  <autoFilter ref="T4:AC5" xr:uid="{D2B3CF45-440D-4F69-AC3A-AB7CA7B035DB}"/>
  <tableColumns count="10">
    <tableColumn id="1" xr3:uid="{DE164432-A042-4F5A-9A92-ED72AE6F15B6}" name="Sale Number:" dataDxfId="55"/>
    <tableColumn id="2" xr3:uid="{0070A41A-88E5-4DCE-BE1C-C72ADEB1D4A7}" name="Date of Sale" dataDxfId="54"/>
    <tableColumn id="3" xr3:uid="{9C67E726-DB85-4B74-AD74-2E050282D2A4}" name="Coins Sold (#)" dataDxfId="53"/>
    <tableColumn id="4" xr3:uid="{EEB6A78C-C09C-411C-A55B-1B0D17AA3825}" name="Sell Price:" dataDxfId="52"/>
    <tableColumn id="5" xr3:uid="{254FBCF5-0539-47CB-818B-17B402CD3DF6}" name="Cost Basis of Sale" dataDxfId="51"/>
    <tableColumn id="6" xr3:uid="{6851D2D7-5164-4815-9C09-EC3F9107568F}" name="Value of Sale" dataDxfId="50"/>
    <tableColumn id="7" xr3:uid="{C2DD43C6-4101-4FA6-804E-0186C3F2578C}" name="Gain:" dataDxfId="49"/>
    <tableColumn id="8" xr3:uid="{7F2FF6A1-74D5-4E52-B903-C13845AC5393}" name="% Gain Above 1 Year" dataDxfId="48"/>
    <tableColumn id="9" xr3:uid="{A636F174-B7F3-46CD-8BEF-5897FC1F267E}" name="Loss:" dataDxfId="47"/>
    <tableColumn id="10" xr3:uid="{145C19F0-FF15-41F2-8FC0-FDC68F2D2F3A}" name="% Loss Above 1 Year" dataDxfId="46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3A66EA47-EC2F-42F9-A6E9-A005DC52556E}" name="doge_yearly_income_txn" displayName="doge_yearly_income_txn" ref="AE4:AG6" totalsRowShown="0" headerRowDxfId="45" dataDxfId="44">
  <autoFilter ref="AE4:AG6" xr:uid="{3A66EA47-EC2F-42F9-A6E9-A005DC52556E}"/>
  <tableColumns count="3">
    <tableColumn id="1" xr3:uid="{6EE7855A-308A-4120-936F-6CEC8EE91441}" name="Year" dataDxfId="43"/>
    <tableColumn id="2" xr3:uid="{032141A4-71E0-451A-87E9-8E80A7F1A3A1}" name="Coins Total" dataDxfId="42"/>
    <tableColumn id="3" xr3:uid="{193CE19B-17CD-4199-8060-D14D73271134}" name="Income Earned" dataDxfId="4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28E368FF-FA6A-4985-94DC-668B221809DF}" name="doge_year_sum_tbl_txn" displayName="doge_year_sum_tbl_txn" ref="AI4:AN5" totalsRowShown="0" headerRowDxfId="40">
  <autoFilter ref="AI4:AN5" xr:uid="{28E368FF-FA6A-4985-94DC-668B221809DF}"/>
  <tableColumns count="6">
    <tableColumn id="1" xr3:uid="{7B33A81A-78BC-442B-9280-63C98D9C9297}" name="Year"/>
    <tableColumn id="2" xr3:uid="{307DC474-45A0-4F23-8588-D2B7C26DBA1C}" name="Income"/>
    <tableColumn id="3" xr3:uid="{DA0B178E-82B1-46BD-BA39-CA0D19DB5BD1}" name="Short Gain"/>
    <tableColumn id="4" xr3:uid="{7E7B3F4D-4B49-45FB-B22D-4E0E177D34D5}" name="Long Gain"/>
    <tableColumn id="5" xr3:uid="{5A92F52C-5CB3-444F-8324-B1DD215008AF}" name="Short Loss"/>
    <tableColumn id="6" xr3:uid="{DEC98D53-3EB8-4D79-9882-3070B28E2047}" name="Long Loss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D33D438D-E248-4743-8722-3A9AC67F8018}" name="btc_income_txn" displayName="btc_income_txn" ref="A4:Q16" totalsRowShown="0" headerRowDxfId="39" dataDxfId="38">
  <autoFilter ref="A4:Q16" xr:uid="{D33D438D-E248-4743-8722-3A9AC67F8018}"/>
  <tableColumns count="17">
    <tableColumn id="1" xr3:uid="{B9C8F2F3-7F54-419E-B0C2-30DEBBB672F5}" name="Date of Buy/Income" dataDxfId="37"/>
    <tableColumn id="2" xr3:uid="{90CDE7F1-7598-4914-9273-C90D2A7235A2}" name="Buy or Income" dataDxfId="36"/>
    <tableColumn id="3" xr3:uid="{5437DAF9-5A7F-49F7-BDA6-273F61C68F34}" name="Price/Coin" dataDxfId="35"/>
    <tableColumn id="4" xr3:uid="{81389F30-CE16-4B7A-B770-7A641CCC0E9C}" name="Coins Gained" dataDxfId="34"/>
    <tableColumn id="5" xr3:uid="{62238B34-61E0-46D9-ADB3-6BDF95037B55}" name="Value Gained" dataDxfId="33"/>
    <tableColumn id="6" xr3:uid="{C55E8B76-3F39-4218-8B1E-F5FF848CDBA9}" name="Coins Sold (#)" dataDxfId="32"/>
    <tableColumn id="7" xr3:uid="{C031F0D0-3035-4A4F-B748-2029BEDDD65C}" name="Price Sold At" dataDxfId="31"/>
    <tableColumn id="8" xr3:uid="{C8BCF155-1609-437D-BD45-474A9347A54C}" name="Realized Gain/Loss" dataDxfId="30"/>
    <tableColumn id="9" xr3:uid="{3FCAD2C9-9DD1-4ADA-9912-ED7A7F255462}" name="Sale Number" dataDxfId="29"/>
    <tableColumn id="10" xr3:uid="{D2961E4A-B59A-43BE-97F2-4A3F4603B685}" name="Date of Sale" dataDxfId="28"/>
    <tableColumn id="11" xr3:uid="{4BA21AB6-0E38-486E-B5F3-48C47D620116}" name="Cost Basis of Total Sale" dataDxfId="27"/>
    <tableColumn id="12" xr3:uid="{2A990CD5-E2FE-4215-B8D8-3D0115A24EA6}" name="Value of Total Sale" dataDxfId="26"/>
    <tableColumn id="13" xr3:uid="{CE28226F-8224-45CE-B5F8-4846FD46AF6F}" name="&gt;1 Year?" dataDxfId="25"/>
    <tableColumn id="14" xr3:uid="{974D0CEC-9135-4F31-A012-2ACA0EFE5C9A}" name="Total Sale Gain" dataDxfId="24"/>
    <tableColumn id="15" xr3:uid="{CA317D75-35E8-4B51-9460-9DFAD270C99C}" name="% Gain Above 1 Year" dataDxfId="23"/>
    <tableColumn id="16" xr3:uid="{BDE32481-1D3A-4733-A0D5-7F0CCE4A5885}" name="Total Sale Loss" dataDxfId="22"/>
    <tableColumn id="17" xr3:uid="{D2ED75EB-6344-43D5-8A18-FB95D18DA80F}" name="% Loss Above 1 Year" dataDxfId="2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BEAE310-70CE-48E1-9FFD-140E1BBD1915}" name="btc_summary_tbl_txn" displayName="btc_summary_tbl_txn" ref="T4:AC8" totalsRowShown="0" headerRowDxfId="20" dataDxfId="19">
  <autoFilter ref="T4:AC8" xr:uid="{3BEAE310-70CE-48E1-9FFD-140E1BBD1915}"/>
  <tableColumns count="10">
    <tableColumn id="1" xr3:uid="{0D983A20-FFD5-4752-ABCD-3F2836C02C30}" name="Sale Number:" dataDxfId="18"/>
    <tableColumn id="2" xr3:uid="{D5D45C3D-ACB2-4FB3-A7B8-32C06B01D1F5}" name="Date of Sale" dataDxfId="17"/>
    <tableColumn id="3" xr3:uid="{5F5F31A4-5DBA-4C75-AD32-392858E752E5}" name="Coins Sold (#)" dataDxfId="16"/>
    <tableColumn id="4" xr3:uid="{3B460660-76A4-4743-BD56-124A92C8D5E2}" name="Sell Price:" dataDxfId="15"/>
    <tableColumn id="5" xr3:uid="{95272E40-A022-41E7-9810-064AAEC40019}" name="Cost Basis of Sale" dataDxfId="14"/>
    <tableColumn id="6" xr3:uid="{5CDECB73-BD61-427A-93C9-1297A7073FAE}" name="Value of Sale" dataDxfId="13"/>
    <tableColumn id="7" xr3:uid="{49D33E03-B9E5-4EE6-A4D8-28409C79E60A}" name="Gain:" dataDxfId="12"/>
    <tableColumn id="8" xr3:uid="{47D04E98-4A24-4F20-9084-65EDD8DAC884}" name="% Gain Above 1 Year" dataDxfId="11"/>
    <tableColumn id="9" xr3:uid="{C32EA2F0-3863-44FC-8ED6-6A2BF803001D}" name="Loss:" dataDxfId="10"/>
    <tableColumn id="10" xr3:uid="{6C430F2F-1C19-489A-941C-556A62CCCDB4}" name="% Loss Above 1 Year" dataDxfId="9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A8F2ED5D-80CC-4C43-950E-BE29078B9A32}" name="btc_yearly_income_txn" displayName="btc_yearly_income_txn" ref="AE4:AG6" totalsRowShown="0" headerRowDxfId="8" dataDxfId="7">
  <autoFilter ref="AE4:AG6" xr:uid="{A8F2ED5D-80CC-4C43-950E-BE29078B9A32}"/>
  <tableColumns count="3">
    <tableColumn id="1" xr3:uid="{522D93C0-C55F-4815-A95E-B39AF2A04767}" name="Year" dataDxfId="6"/>
    <tableColumn id="2" xr3:uid="{427B0D3A-2DD6-4FD8-BCA8-21C7750755F2}" name="Coins Total" dataDxfId="5"/>
    <tableColumn id="3" xr3:uid="{08E2DE5A-F1C7-406C-8660-E638D4273282}" name="Income Earned" dataDxfId="4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81F780BD-CD32-44C1-9AD4-6EFB869F2944}" name="btc_year_sum_tbl_txn" displayName="btc_year_sum_tbl_txn" ref="AI4:AN5" totalsRowShown="0" headerRowDxfId="3">
  <autoFilter ref="AI4:AN5" xr:uid="{81F780BD-CD32-44C1-9AD4-6EFB869F2944}"/>
  <tableColumns count="6">
    <tableColumn id="1" xr3:uid="{348FDBFD-107A-48E4-9C48-0D613580191B}" name="Year"/>
    <tableColumn id="2" xr3:uid="{7445246C-FE0F-4A51-AAF7-371D481066A1}" name="Income"/>
    <tableColumn id="3" xr3:uid="{A6AB16C7-7EF0-4810-9CA9-5ABC8D00C92A}" name="Short Gain"/>
    <tableColumn id="4" xr3:uid="{F7B07C8C-C5E7-42E7-A745-2B6F1A8715E4}" name="Long Gain"/>
    <tableColumn id="5" xr3:uid="{68F8597E-0CBF-4E53-9976-605FB40598D1}" name="Short Loss"/>
    <tableColumn id="6" xr3:uid="{5279D26E-9C9B-4345-B74C-DDF227657A61}" name="Long Lo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B7977F8-B41D-4F26-8031-338E5AC96C7D}">
  <we:reference id="wa104379220" version="8.0.0.0" store="en-US" storeType="OMEX"/>
  <we:alternateReferences>
    <we:reference id="WA104379220" version="8.0.0.0" store="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4" Type="http://schemas.openxmlformats.org/officeDocument/2006/relationships/table" Target="../tables/table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Relationship Id="rId4" Type="http://schemas.openxmlformats.org/officeDocument/2006/relationships/table" Target="../tables/table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4" Type="http://schemas.openxmlformats.org/officeDocument/2006/relationships/table" Target="../tables/table2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table" Target="../tables/table29.xml"/><Relationship Id="rId1" Type="http://schemas.openxmlformats.org/officeDocument/2006/relationships/table" Target="../tables/table28.xml"/><Relationship Id="rId4" Type="http://schemas.openxmlformats.org/officeDocument/2006/relationships/table" Target="../tables/table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table" Target="../tables/table32.xml"/><Relationship Id="rId4" Type="http://schemas.openxmlformats.org/officeDocument/2006/relationships/table" Target="../tables/table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4" Type="http://schemas.openxmlformats.org/officeDocument/2006/relationships/table" Target="../tables/table3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Relationship Id="rId4" Type="http://schemas.openxmlformats.org/officeDocument/2006/relationships/table" Target="../tables/table4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table" Target="../tables/table44.xml"/><Relationship Id="rId4" Type="http://schemas.openxmlformats.org/officeDocument/2006/relationships/table" Target="../tables/table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187B-DE8C-433C-98F5-6FDF2BE378E9}">
  <sheetPr codeName="Sheet1"/>
  <dimension ref="A1:N290"/>
  <sheetViews>
    <sheetView topLeftCell="C265" zoomScale="70" zoomScaleNormal="70" workbookViewId="0">
      <selection activeCell="H291" sqref="H291"/>
    </sheetView>
  </sheetViews>
  <sheetFormatPr defaultRowHeight="14.5" x14ac:dyDescent="0.35"/>
  <cols>
    <col min="1" max="1" width="9" bestFit="1" customWidth="1"/>
    <col min="2" max="2" width="10.26953125" customWidth="1"/>
    <col min="3" max="3" width="16.453125" bestFit="1" customWidth="1"/>
    <col min="4" max="4" width="8.453125" bestFit="1" customWidth="1"/>
    <col min="5" max="5" width="18.54296875" customWidth="1"/>
    <col min="6" max="6" width="23.08984375" customWidth="1"/>
    <col min="7" max="7" width="12.1796875" bestFit="1" customWidth="1"/>
    <col min="8" max="8" width="16.6328125" customWidth="1"/>
    <col min="9" max="9" width="12.81640625" customWidth="1"/>
    <col min="10" max="10" width="21.81640625" bestFit="1" customWidth="1"/>
    <col min="11" max="11" width="12.7265625" bestFit="1" customWidth="1"/>
    <col min="12" max="12" width="16.26953125" customWidth="1"/>
    <col min="13" max="13" width="18.6328125" bestFit="1" customWidth="1"/>
    <col min="14" max="14" width="13.453125" bestFit="1" customWidth="1"/>
  </cols>
  <sheetData>
    <row r="1" spans="1:14" ht="42.5" thickBot="1" x14ac:dyDescent="0.4">
      <c r="A1" s="1" t="s">
        <v>0</v>
      </c>
      <c r="B1" s="14" t="s">
        <v>80</v>
      </c>
      <c r="C1" s="14" t="s">
        <v>1</v>
      </c>
      <c r="D1" s="14" t="s">
        <v>2</v>
      </c>
      <c r="E1" s="14" t="s">
        <v>81</v>
      </c>
      <c r="F1" s="14" t="s">
        <v>82</v>
      </c>
      <c r="G1" s="14" t="s">
        <v>3</v>
      </c>
      <c r="H1" s="14" t="s">
        <v>4</v>
      </c>
      <c r="I1" s="14" t="s">
        <v>5</v>
      </c>
      <c r="J1" s="14" t="s">
        <v>48</v>
      </c>
      <c r="K1" s="14" t="s">
        <v>6</v>
      </c>
      <c r="L1" s="14" t="s">
        <v>7</v>
      </c>
      <c r="M1" s="2" t="s">
        <v>110</v>
      </c>
      <c r="N1" s="2" t="s">
        <v>49</v>
      </c>
    </row>
    <row r="2" spans="1:14" x14ac:dyDescent="0.35">
      <c r="A2" s="16"/>
      <c r="B2" s="16">
        <v>14</v>
      </c>
      <c r="C2" s="17">
        <v>44155.667361111111</v>
      </c>
      <c r="D2" s="16" t="s">
        <v>13</v>
      </c>
      <c r="E2" s="16" t="s">
        <v>10</v>
      </c>
      <c r="F2" s="16" t="s">
        <v>15</v>
      </c>
      <c r="G2" s="16" t="s">
        <v>17</v>
      </c>
      <c r="H2" s="18">
        <v>5.3404000000000004E-3</v>
      </c>
      <c r="I2" s="19">
        <v>57524.83</v>
      </c>
      <c r="J2" s="19">
        <v>307.20560213200002</v>
      </c>
      <c r="K2" s="19">
        <v>0</v>
      </c>
      <c r="L2" s="16">
        <v>1</v>
      </c>
      <c r="M2" s="18">
        <v>0.13897799999999999</v>
      </c>
      <c r="N2" s="18">
        <f>IF(OR(Transaction_tbl[[#This Row],[Type]]="Sell", Transaction_tbl[[#This Row],[Type]]="Fee"), Transaction_tbl[[#This Row],[Previous Units
(Units Owned Before Txn)]]-Transaction_tbl[[#This Row],[Transacted Units]], IF(OR(Transaction_tbl[[#This Row],[Type]]="Buy", Transaction_tbl[[#This Row],[Type]]="Income"),  Transaction_tbl[[#This Row],[Previous Units
(Units Owned Before Txn)]]+Transaction_tbl[[#This Row],[Transacted Units]], "No Type Selected"))</f>
        <v>0.1336376</v>
      </c>
    </row>
    <row r="3" spans="1:14" x14ac:dyDescent="0.35">
      <c r="A3" s="16"/>
      <c r="B3" s="16">
        <v>8</v>
      </c>
      <c r="C3" s="17">
        <v>44157.084027777775</v>
      </c>
      <c r="D3" s="16" t="s">
        <v>8</v>
      </c>
      <c r="E3" s="16" t="s">
        <v>10</v>
      </c>
      <c r="F3" s="16" t="s">
        <v>15</v>
      </c>
      <c r="G3" s="16" t="s">
        <v>17</v>
      </c>
      <c r="H3" s="18">
        <v>5.3404000000000004E-3</v>
      </c>
      <c r="I3" s="19">
        <v>18713.63</v>
      </c>
      <c r="J3" s="19">
        <v>99.938269652000017</v>
      </c>
      <c r="K3" s="19">
        <v>0</v>
      </c>
      <c r="L3" s="16">
        <v>1</v>
      </c>
      <c r="M3" s="18">
        <v>0</v>
      </c>
      <c r="N3" s="18">
        <v>5.3404000000000004E-3</v>
      </c>
    </row>
    <row r="4" spans="1:14" x14ac:dyDescent="0.35">
      <c r="A4" s="16"/>
      <c r="B4" s="16">
        <v>6</v>
      </c>
      <c r="C4" s="17">
        <v>44235.627083333333</v>
      </c>
      <c r="D4" s="16" t="s">
        <v>8</v>
      </c>
      <c r="E4" s="16" t="s">
        <v>10</v>
      </c>
      <c r="F4" s="16" t="s">
        <v>15</v>
      </c>
      <c r="G4" s="16" t="s">
        <v>16</v>
      </c>
      <c r="H4" s="18">
        <v>599</v>
      </c>
      <c r="I4" s="19">
        <v>0.08</v>
      </c>
      <c r="J4" s="19">
        <v>47.92</v>
      </c>
      <c r="K4" s="19">
        <v>0</v>
      </c>
      <c r="L4" s="16">
        <v>1</v>
      </c>
      <c r="M4" s="18">
        <v>1.04</v>
      </c>
      <c r="N4" s="18">
        <v>600.04</v>
      </c>
    </row>
    <row r="5" spans="1:14" x14ac:dyDescent="0.35">
      <c r="A5" s="16"/>
      <c r="B5" s="16">
        <v>1</v>
      </c>
      <c r="C5" s="17">
        <v>44313.886805555558</v>
      </c>
      <c r="D5" s="16" t="s">
        <v>8</v>
      </c>
      <c r="E5" s="16" t="s">
        <v>10</v>
      </c>
      <c r="F5" s="16" t="s">
        <v>11</v>
      </c>
      <c r="G5" s="16" t="s">
        <v>12</v>
      </c>
      <c r="H5" s="18">
        <v>0.52</v>
      </c>
      <c r="I5" s="19">
        <v>574.04</v>
      </c>
      <c r="J5" s="19">
        <v>300.00079999999997</v>
      </c>
      <c r="K5" s="19">
        <v>1.5</v>
      </c>
      <c r="L5" s="16">
        <v>1</v>
      </c>
      <c r="M5" s="18">
        <v>5.3404000000000004E-3</v>
      </c>
      <c r="N5" s="18">
        <v>0.52534040000000004</v>
      </c>
    </row>
    <row r="6" spans="1:14" x14ac:dyDescent="0.35">
      <c r="A6" s="16"/>
      <c r="B6" s="16">
        <v>2</v>
      </c>
      <c r="C6" s="17">
        <v>44313.886805555558</v>
      </c>
      <c r="D6" s="16" t="s">
        <v>8</v>
      </c>
      <c r="E6" s="16" t="s">
        <v>10</v>
      </c>
      <c r="F6" s="16" t="s">
        <v>11</v>
      </c>
      <c r="G6" s="16" t="s">
        <v>12</v>
      </c>
      <c r="H6" s="18">
        <v>0.52</v>
      </c>
      <c r="I6" s="19">
        <v>574.04</v>
      </c>
      <c r="J6" s="19">
        <v>300.00079999999997</v>
      </c>
      <c r="K6" s="19">
        <v>1.5</v>
      </c>
      <c r="L6" s="16">
        <v>1</v>
      </c>
      <c r="M6" s="18">
        <v>0</v>
      </c>
      <c r="N6" s="18">
        <v>0.52</v>
      </c>
    </row>
    <row r="7" spans="1:14" x14ac:dyDescent="0.35">
      <c r="A7" s="16"/>
      <c r="B7" s="16">
        <v>5</v>
      </c>
      <c r="C7" s="17">
        <v>44313.887499999997</v>
      </c>
      <c r="D7" s="16" t="s">
        <v>8</v>
      </c>
      <c r="E7" s="16" t="s">
        <v>10</v>
      </c>
      <c r="F7" s="16" t="s">
        <v>11</v>
      </c>
      <c r="G7" s="16" t="s">
        <v>14</v>
      </c>
      <c r="H7" s="18">
        <v>17.93</v>
      </c>
      <c r="I7" s="19">
        <v>16.64</v>
      </c>
      <c r="J7" s="19">
        <v>299.85520000000002</v>
      </c>
      <c r="K7" s="19">
        <v>1.5</v>
      </c>
      <c r="L7" s="16">
        <v>1</v>
      </c>
      <c r="M7" s="18">
        <v>34.71</v>
      </c>
      <c r="N7" s="18">
        <v>52.64</v>
      </c>
    </row>
    <row r="8" spans="1:14" x14ac:dyDescent="0.35">
      <c r="A8" s="16"/>
      <c r="B8" s="16">
        <v>3</v>
      </c>
      <c r="C8" s="17">
        <v>44313.888888888891</v>
      </c>
      <c r="D8" s="16" t="s">
        <v>13</v>
      </c>
      <c r="E8" s="16" t="s">
        <v>10</v>
      </c>
      <c r="F8" s="16" t="s">
        <v>11</v>
      </c>
      <c r="G8" s="16" t="s">
        <v>12</v>
      </c>
      <c r="H8" s="18">
        <v>1.04</v>
      </c>
      <c r="I8" s="19">
        <v>561.54999999999995</v>
      </c>
      <c r="J8" s="19">
        <v>582.51199999999994</v>
      </c>
      <c r="K8" s="19">
        <v>1.5</v>
      </c>
      <c r="L8" s="16">
        <v>1</v>
      </c>
      <c r="M8" s="18">
        <v>0</v>
      </c>
      <c r="N8" s="18">
        <v>-1.04</v>
      </c>
    </row>
    <row r="9" spans="1:14" x14ac:dyDescent="0.35">
      <c r="A9" s="16"/>
      <c r="B9" s="16">
        <v>4</v>
      </c>
      <c r="C9" s="17">
        <v>44313.890277777777</v>
      </c>
      <c r="D9" s="16" t="s">
        <v>8</v>
      </c>
      <c r="E9" s="16" t="s">
        <v>10</v>
      </c>
      <c r="F9" s="16" t="s">
        <v>11</v>
      </c>
      <c r="G9" s="16" t="s">
        <v>14</v>
      </c>
      <c r="H9" s="18">
        <v>34.71</v>
      </c>
      <c r="I9" s="19">
        <v>16.649999999999999</v>
      </c>
      <c r="J9" s="19">
        <v>580.83149999999989</v>
      </c>
      <c r="K9" s="19">
        <v>2.91</v>
      </c>
      <c r="L9" s="16">
        <v>1</v>
      </c>
      <c r="M9" s="18">
        <v>0.52</v>
      </c>
      <c r="N9" s="18">
        <v>35.230000000000004</v>
      </c>
    </row>
    <row r="10" spans="1:14" x14ac:dyDescent="0.35">
      <c r="A10" s="16"/>
      <c r="B10" s="16">
        <v>9</v>
      </c>
      <c r="C10" s="17">
        <v>44318.92083333333</v>
      </c>
      <c r="D10" s="16" t="s">
        <v>8</v>
      </c>
      <c r="E10" s="16" t="s">
        <v>10</v>
      </c>
      <c r="F10" s="16" t="s">
        <v>15</v>
      </c>
      <c r="G10" s="16" t="s">
        <v>18</v>
      </c>
      <c r="H10" s="18">
        <v>0.13897799999999999</v>
      </c>
      <c r="I10" s="19">
        <v>3021.5</v>
      </c>
      <c r="J10" s="19">
        <v>419.92202699999996</v>
      </c>
      <c r="K10" s="19">
        <v>0</v>
      </c>
      <c r="L10" s="16">
        <v>1</v>
      </c>
      <c r="M10" s="18">
        <v>599</v>
      </c>
      <c r="N10" s="18">
        <v>599.13897799999995</v>
      </c>
    </row>
    <row r="11" spans="1:14" x14ac:dyDescent="0.35">
      <c r="A11" s="16"/>
      <c r="B11" s="16">
        <v>7</v>
      </c>
      <c r="C11" s="17">
        <v>44319.083333333336</v>
      </c>
      <c r="D11" s="16" t="s">
        <v>13</v>
      </c>
      <c r="E11" s="16" t="s">
        <v>10</v>
      </c>
      <c r="F11" s="16" t="s">
        <v>15</v>
      </c>
      <c r="G11" s="16" t="s">
        <v>16</v>
      </c>
      <c r="H11" s="18">
        <v>599</v>
      </c>
      <c r="I11" s="19">
        <v>0.39</v>
      </c>
      <c r="J11" s="19">
        <v>233.61</v>
      </c>
      <c r="K11" s="19">
        <v>0</v>
      </c>
      <c r="L11" s="16">
        <v>1</v>
      </c>
      <c r="M11" s="18">
        <v>0</v>
      </c>
      <c r="N11" s="18">
        <v>-599</v>
      </c>
    </row>
    <row r="12" spans="1:14" x14ac:dyDescent="0.35">
      <c r="A12" s="16"/>
      <c r="B12" s="16">
        <v>10</v>
      </c>
      <c r="C12" s="17">
        <v>44325.549305555556</v>
      </c>
      <c r="D12" s="16" t="s">
        <v>8</v>
      </c>
      <c r="E12" s="16" t="s">
        <v>10</v>
      </c>
      <c r="F12" s="16" t="s">
        <v>19</v>
      </c>
      <c r="G12" s="16" t="s">
        <v>20</v>
      </c>
      <c r="H12" s="18">
        <v>735.03892900000005</v>
      </c>
      <c r="I12" s="19">
        <v>1.34</v>
      </c>
      <c r="J12" s="19">
        <v>999.6321648600001</v>
      </c>
      <c r="K12" s="19">
        <v>14.68</v>
      </c>
      <c r="L12" s="16">
        <v>1</v>
      </c>
      <c r="M12" s="18">
        <v>0</v>
      </c>
      <c r="N12" s="18">
        <v>735.03892900000005</v>
      </c>
    </row>
    <row r="13" spans="1:14" x14ac:dyDescent="0.35">
      <c r="A13" s="16"/>
      <c r="B13" s="16">
        <v>12</v>
      </c>
      <c r="C13" s="17">
        <v>44325.561111111114</v>
      </c>
      <c r="D13" s="16" t="s">
        <v>8</v>
      </c>
      <c r="E13" s="16" t="s">
        <v>10</v>
      </c>
      <c r="F13" s="16" t="s">
        <v>11</v>
      </c>
      <c r="G13" s="16" t="s">
        <v>22</v>
      </c>
      <c r="H13" s="18">
        <v>1031</v>
      </c>
      <c r="I13" s="19">
        <v>0.94</v>
      </c>
      <c r="J13" s="19">
        <v>974.03</v>
      </c>
      <c r="K13" s="19">
        <v>4.8899999999999997</v>
      </c>
      <c r="L13" s="16">
        <v>1</v>
      </c>
      <c r="M13" s="18">
        <v>0</v>
      </c>
      <c r="N13" s="18">
        <v>1031</v>
      </c>
    </row>
    <row r="14" spans="1:14" x14ac:dyDescent="0.35">
      <c r="A14" s="16"/>
      <c r="B14" s="16">
        <v>11</v>
      </c>
      <c r="C14" s="17">
        <v>44325.561805555553</v>
      </c>
      <c r="D14" s="16" t="s">
        <v>8</v>
      </c>
      <c r="E14" s="16" t="s">
        <v>10</v>
      </c>
      <c r="F14" s="16" t="s">
        <v>11</v>
      </c>
      <c r="G14" s="16" t="s">
        <v>21</v>
      </c>
      <c r="H14" s="18">
        <v>4491</v>
      </c>
      <c r="I14" s="19">
        <v>0.21</v>
      </c>
      <c r="J14" s="19">
        <v>948</v>
      </c>
      <c r="K14" s="19">
        <v>4.8899999999999997</v>
      </c>
      <c r="L14" s="16">
        <v>1</v>
      </c>
      <c r="M14" s="18">
        <v>0</v>
      </c>
      <c r="N14" s="18">
        <v>4491</v>
      </c>
    </row>
    <row r="15" spans="1:14" x14ac:dyDescent="0.35">
      <c r="A15" s="16"/>
      <c r="B15" s="16">
        <v>13</v>
      </c>
      <c r="C15" s="17">
        <v>44326.71875</v>
      </c>
      <c r="D15" s="16" t="s">
        <v>13</v>
      </c>
      <c r="E15" s="16" t="s">
        <v>10</v>
      </c>
      <c r="F15" s="16" t="s">
        <v>15</v>
      </c>
      <c r="G15" s="16" t="s">
        <v>18</v>
      </c>
      <c r="H15" s="18">
        <v>0.13897799999999999</v>
      </c>
      <c r="I15" s="19">
        <v>4177.34</v>
      </c>
      <c r="J15" s="19">
        <v>580.55835851999996</v>
      </c>
      <c r="K15" s="19">
        <v>0</v>
      </c>
      <c r="L15" s="16">
        <v>1</v>
      </c>
      <c r="M15" s="18">
        <v>5.3404000000000004E-3</v>
      </c>
      <c r="N15" s="18">
        <v>-0.1336376</v>
      </c>
    </row>
    <row r="16" spans="1:14" x14ac:dyDescent="0.35">
      <c r="A16" s="16"/>
      <c r="B16" s="16">
        <v>15</v>
      </c>
      <c r="C16" s="17">
        <v>44334.802777777775</v>
      </c>
      <c r="D16" s="16" t="s">
        <v>8</v>
      </c>
      <c r="E16" s="16" t="s">
        <v>10</v>
      </c>
      <c r="F16" s="16" t="s">
        <v>11</v>
      </c>
      <c r="G16" s="16" t="s">
        <v>17</v>
      </c>
      <c r="H16" s="18">
        <v>2.3217999999999999E-2</v>
      </c>
      <c r="I16" s="19">
        <v>42854.68</v>
      </c>
      <c r="J16" s="19">
        <v>999.99996023999995</v>
      </c>
      <c r="K16" s="19">
        <v>5</v>
      </c>
      <c r="L16" s="16">
        <v>1</v>
      </c>
      <c r="M16" s="18">
        <v>0</v>
      </c>
      <c r="N16" s="18">
        <v>2.3217999999999999E-2</v>
      </c>
    </row>
    <row r="17" spans="1:14" x14ac:dyDescent="0.35">
      <c r="A17" s="16"/>
      <c r="B17" s="16">
        <v>16</v>
      </c>
      <c r="C17" s="17">
        <v>44335.243055555555</v>
      </c>
      <c r="D17" s="16" t="s">
        <v>8</v>
      </c>
      <c r="E17" s="16" t="s">
        <v>10</v>
      </c>
      <c r="F17" s="16" t="s">
        <v>11</v>
      </c>
      <c r="G17" s="16" t="s">
        <v>12</v>
      </c>
      <c r="H17" s="18">
        <v>2.3199999999999998</v>
      </c>
      <c r="I17" s="19">
        <v>428.87</v>
      </c>
      <c r="J17" s="19">
        <v>999.97839999999997</v>
      </c>
      <c r="K17" s="19">
        <v>5</v>
      </c>
      <c r="L17" s="16">
        <v>1</v>
      </c>
      <c r="M17" s="18">
        <v>0</v>
      </c>
      <c r="N17" s="18">
        <v>2.3199999999999998</v>
      </c>
    </row>
    <row r="18" spans="1:14" x14ac:dyDescent="0.35">
      <c r="A18" s="16"/>
      <c r="B18" s="16">
        <v>17</v>
      </c>
      <c r="C18" s="17">
        <v>44335.411111111112</v>
      </c>
      <c r="D18" s="16" t="s">
        <v>8</v>
      </c>
      <c r="E18" s="16" t="s">
        <v>10</v>
      </c>
      <c r="F18" s="16" t="s">
        <v>11</v>
      </c>
      <c r="G18" s="16" t="s">
        <v>17</v>
      </c>
      <c r="H18" s="18">
        <v>2.8000000000000001E-2</v>
      </c>
      <c r="I18" s="19">
        <v>35579.269999999997</v>
      </c>
      <c r="J18" s="19">
        <v>996.21955999999989</v>
      </c>
      <c r="K18" s="19">
        <v>0</v>
      </c>
      <c r="L18" s="16">
        <v>1</v>
      </c>
      <c r="M18" s="18">
        <v>2.3217999999999999E-2</v>
      </c>
      <c r="N18" s="18">
        <v>5.1218E-2</v>
      </c>
    </row>
    <row r="19" spans="1:14" x14ac:dyDescent="0.35">
      <c r="A19" s="16"/>
      <c r="B19" s="16">
        <v>18</v>
      </c>
      <c r="C19" s="17">
        <v>44335.411111111112</v>
      </c>
      <c r="D19" s="16" t="s">
        <v>23</v>
      </c>
      <c r="E19" s="16" t="s">
        <v>83</v>
      </c>
      <c r="F19" s="16" t="s">
        <v>11</v>
      </c>
      <c r="G19" s="16" t="s">
        <v>12</v>
      </c>
      <c r="H19" s="18">
        <v>2.1600999999999999E-3</v>
      </c>
      <c r="I19" s="19">
        <v>354.78</v>
      </c>
      <c r="J19" s="19">
        <v>0.76636027799999984</v>
      </c>
      <c r="K19" s="19">
        <v>0</v>
      </c>
      <c r="L19" s="16">
        <v>1</v>
      </c>
      <c r="M19" s="18">
        <v>2.3199999999999998</v>
      </c>
      <c r="N19" s="18">
        <v>2.3178398999999996</v>
      </c>
    </row>
    <row r="20" spans="1:14" x14ac:dyDescent="0.35">
      <c r="A20" s="16"/>
      <c r="B20" s="16">
        <v>19</v>
      </c>
      <c r="C20" s="17">
        <v>44335.48541666667</v>
      </c>
      <c r="D20" s="16" t="s">
        <v>13</v>
      </c>
      <c r="E20" s="16" t="s">
        <v>10</v>
      </c>
      <c r="F20" s="16" t="s">
        <v>11</v>
      </c>
      <c r="G20" s="16" t="s">
        <v>22</v>
      </c>
      <c r="H20" s="18">
        <v>109.7</v>
      </c>
      <c r="I20" s="19">
        <v>2.17</v>
      </c>
      <c r="J20" s="19">
        <v>238.04900000000001</v>
      </c>
      <c r="K20" s="19">
        <v>0</v>
      </c>
      <c r="L20" s="16">
        <v>1</v>
      </c>
      <c r="M20" s="18">
        <v>1031</v>
      </c>
      <c r="N20" s="18">
        <v>921.3</v>
      </c>
    </row>
    <row r="21" spans="1:14" x14ac:dyDescent="0.35">
      <c r="A21" s="16"/>
      <c r="B21" s="16">
        <v>20</v>
      </c>
      <c r="C21" s="17">
        <v>44335.48541666667</v>
      </c>
      <c r="D21" s="16" t="s">
        <v>23</v>
      </c>
      <c r="E21" s="16" t="s">
        <v>84</v>
      </c>
      <c r="F21" s="16" t="s">
        <v>11</v>
      </c>
      <c r="G21" s="16" t="s">
        <v>12</v>
      </c>
      <c r="H21" s="18">
        <v>4.7919999999999999E-4</v>
      </c>
      <c r="I21" s="19">
        <v>373.47</v>
      </c>
      <c r="J21" s="19">
        <v>0.178966824</v>
      </c>
      <c r="K21" s="19">
        <v>0</v>
      </c>
      <c r="L21" s="16">
        <v>1</v>
      </c>
      <c r="M21" s="18">
        <v>2.3178399299999999</v>
      </c>
      <c r="N21" s="18">
        <v>2.3173607299999999</v>
      </c>
    </row>
    <row r="22" spans="1:14" x14ac:dyDescent="0.35">
      <c r="A22" s="16"/>
      <c r="B22" s="16">
        <v>21</v>
      </c>
      <c r="C22" s="17">
        <v>44335.48541666667</v>
      </c>
      <c r="D22" s="16" t="s">
        <v>13</v>
      </c>
      <c r="E22" s="16" t="s">
        <v>10</v>
      </c>
      <c r="F22" s="16" t="s">
        <v>11</v>
      </c>
      <c r="G22" s="16" t="s">
        <v>22</v>
      </c>
      <c r="H22" s="18">
        <v>921.3</v>
      </c>
      <c r="I22" s="19">
        <v>2.17</v>
      </c>
      <c r="J22" s="19">
        <v>1999.2209999999998</v>
      </c>
      <c r="K22" s="19">
        <v>0</v>
      </c>
      <c r="L22" s="16">
        <v>1</v>
      </c>
      <c r="M22" s="18">
        <v>921.3</v>
      </c>
      <c r="N22" s="18">
        <v>0</v>
      </c>
    </row>
    <row r="23" spans="1:14" x14ac:dyDescent="0.35">
      <c r="A23" s="16"/>
      <c r="B23" s="16">
        <v>22</v>
      </c>
      <c r="C23" s="17">
        <v>44335.48541666667</v>
      </c>
      <c r="D23" s="16" t="s">
        <v>23</v>
      </c>
      <c r="E23" s="16" t="s">
        <v>84</v>
      </c>
      <c r="F23" s="16" t="s">
        <v>11</v>
      </c>
      <c r="G23" s="16" t="s">
        <v>12</v>
      </c>
      <c r="H23" s="18">
        <v>4.0276000000000001E-3</v>
      </c>
      <c r="I23" s="19">
        <v>373.47</v>
      </c>
      <c r="J23" s="19">
        <v>1.5041877720000001</v>
      </c>
      <c r="K23" s="19">
        <v>0</v>
      </c>
      <c r="L23" s="16">
        <v>1</v>
      </c>
      <c r="M23" s="18">
        <v>2.3173606899999899</v>
      </c>
      <c r="N23" s="18">
        <v>2.3133330899999898</v>
      </c>
    </row>
    <row r="24" spans="1:14" x14ac:dyDescent="0.35">
      <c r="A24" s="16"/>
      <c r="B24" s="16">
        <v>24</v>
      </c>
      <c r="C24" s="17">
        <v>44335.545138888891</v>
      </c>
      <c r="D24" s="16" t="s">
        <v>23</v>
      </c>
      <c r="E24" s="16" t="s">
        <v>85</v>
      </c>
      <c r="F24" s="16" t="s">
        <v>11</v>
      </c>
      <c r="G24" s="16" t="s">
        <v>12</v>
      </c>
      <c r="H24" s="18">
        <v>7.4999999999999993E-5</v>
      </c>
      <c r="I24" s="19">
        <v>401.55</v>
      </c>
      <c r="J24" s="19">
        <v>3.0116249999999997E-2</v>
      </c>
      <c r="K24" s="19">
        <v>0</v>
      </c>
      <c r="L24" s="16">
        <v>1</v>
      </c>
      <c r="M24" s="18">
        <v>7.8632580699999997</v>
      </c>
      <c r="N24" s="18">
        <v>7.8631830699999998</v>
      </c>
    </row>
    <row r="25" spans="1:14" x14ac:dyDescent="0.35">
      <c r="A25" s="16"/>
      <c r="B25" s="16">
        <v>25</v>
      </c>
      <c r="C25" s="17">
        <v>44335.546527777777</v>
      </c>
      <c r="D25" s="16" t="s">
        <v>23</v>
      </c>
      <c r="E25" s="16" t="s">
        <v>85</v>
      </c>
      <c r="F25" s="16" t="s">
        <v>11</v>
      </c>
      <c r="G25" s="16" t="s">
        <v>12</v>
      </c>
      <c r="H25" s="18">
        <v>7.4999999999999993E-5</v>
      </c>
      <c r="I25" s="19">
        <v>401.92</v>
      </c>
      <c r="J25" s="19">
        <v>3.0143999999999997E-2</v>
      </c>
      <c r="K25" s="19">
        <v>0</v>
      </c>
      <c r="L25" s="16">
        <v>1</v>
      </c>
      <c r="M25" s="18">
        <v>7.8631830699999998</v>
      </c>
      <c r="N25" s="18">
        <v>7.86310807</v>
      </c>
    </row>
    <row r="26" spans="1:14" ht="58" x14ac:dyDescent="0.35">
      <c r="A26" s="16"/>
      <c r="B26" s="16">
        <v>26</v>
      </c>
      <c r="C26" s="17">
        <v>44335.558333333334</v>
      </c>
      <c r="D26" s="16" t="s">
        <v>23</v>
      </c>
      <c r="E26" s="16" t="s">
        <v>86</v>
      </c>
      <c r="F26" s="16" t="s">
        <v>24</v>
      </c>
      <c r="G26" s="16" t="s">
        <v>12</v>
      </c>
      <c r="H26" s="18">
        <v>2.1180999999999999E-3</v>
      </c>
      <c r="I26" s="19">
        <v>407.84</v>
      </c>
      <c r="J26" s="19">
        <v>0.86384590399999994</v>
      </c>
      <c r="K26" s="19">
        <v>0</v>
      </c>
      <c r="L26" s="16">
        <v>1</v>
      </c>
      <c r="M26" s="18">
        <v>7.8610649536562498</v>
      </c>
      <c r="N26" s="18">
        <v>7.8589468536562501</v>
      </c>
    </row>
    <row r="27" spans="1:14" x14ac:dyDescent="0.35">
      <c r="A27" s="16"/>
      <c r="B27" s="16">
        <v>27</v>
      </c>
      <c r="C27" s="17">
        <v>44335.55972222222</v>
      </c>
      <c r="D27" s="16" t="s">
        <v>13</v>
      </c>
      <c r="E27" s="16"/>
      <c r="F27" s="16" t="s">
        <v>24</v>
      </c>
      <c r="G27" s="16" t="s">
        <v>12</v>
      </c>
      <c r="H27" s="18">
        <v>3.7875000000000001</v>
      </c>
      <c r="I27" s="19">
        <v>404.61</v>
      </c>
      <c r="J27" s="19">
        <v>1532.2603750000001</v>
      </c>
      <c r="K27" s="19">
        <v>0.2</v>
      </c>
      <c r="L27" s="16">
        <v>1</v>
      </c>
      <c r="M27" s="18">
        <v>0</v>
      </c>
      <c r="N27" s="18">
        <v>-3.7875000000000001</v>
      </c>
    </row>
    <row r="28" spans="1:14" x14ac:dyDescent="0.35">
      <c r="A28" s="16"/>
      <c r="B28" s="16">
        <v>28</v>
      </c>
      <c r="C28" s="17">
        <v>44335.55972222222</v>
      </c>
      <c r="D28" s="16" t="s">
        <v>8</v>
      </c>
      <c r="E28" s="16"/>
      <c r="F28" s="16" t="s">
        <v>24</v>
      </c>
      <c r="G28" s="16" t="s">
        <v>25</v>
      </c>
      <c r="H28" s="18">
        <v>66.144750000000002</v>
      </c>
      <c r="I28" s="19">
        <v>23.17</v>
      </c>
      <c r="J28" s="19">
        <v>1532.8238575000003</v>
      </c>
      <c r="K28" s="19">
        <v>0.25</v>
      </c>
      <c r="L28" s="16">
        <v>1</v>
      </c>
      <c r="M28" s="18">
        <v>4.0735649536562502</v>
      </c>
      <c r="N28" s="18">
        <v>70.218314953656247</v>
      </c>
    </row>
    <row r="29" spans="1:14" ht="29" x14ac:dyDescent="0.35">
      <c r="A29" s="16"/>
      <c r="B29" s="16">
        <v>29</v>
      </c>
      <c r="C29" s="17">
        <v>44335.55972222222</v>
      </c>
      <c r="D29" s="16" t="s">
        <v>23</v>
      </c>
      <c r="E29" s="16" t="s">
        <v>87</v>
      </c>
      <c r="F29" s="16" t="s">
        <v>24</v>
      </c>
      <c r="G29" s="16" t="s">
        <v>12</v>
      </c>
      <c r="H29" s="18">
        <v>6.514E-4</v>
      </c>
      <c r="I29" s="19">
        <v>404.61</v>
      </c>
      <c r="J29" s="19">
        <v>0.26356295400000002</v>
      </c>
      <c r="K29" s="19">
        <v>0</v>
      </c>
      <c r="L29" s="16">
        <v>1</v>
      </c>
      <c r="M29" s="18">
        <v>4.0729135386562501</v>
      </c>
      <c r="N29" s="18">
        <v>4.0722621386562503</v>
      </c>
    </row>
    <row r="30" spans="1:14" ht="29" x14ac:dyDescent="0.35">
      <c r="A30" s="16"/>
      <c r="B30" s="16">
        <v>30</v>
      </c>
      <c r="C30" s="17">
        <v>44335.560416666667</v>
      </c>
      <c r="D30" s="16" t="s">
        <v>23</v>
      </c>
      <c r="E30" s="16" t="s">
        <v>26</v>
      </c>
      <c r="F30" s="16" t="s">
        <v>24</v>
      </c>
      <c r="G30" s="16" t="s">
        <v>12</v>
      </c>
      <c r="H30" s="18">
        <v>2.2220000000000001E-4</v>
      </c>
      <c r="I30" s="19">
        <v>408</v>
      </c>
      <c r="J30" s="19">
        <v>9.0657600000000005E-2</v>
      </c>
      <c r="K30" s="19">
        <v>0</v>
      </c>
      <c r="L30" s="16">
        <v>1</v>
      </c>
      <c r="M30" s="18">
        <v>4.0726913886562501</v>
      </c>
      <c r="N30" s="18">
        <v>4.0724691886562505</v>
      </c>
    </row>
    <row r="31" spans="1:14" ht="29" x14ac:dyDescent="0.35">
      <c r="A31" s="16"/>
      <c r="B31" s="16">
        <v>31</v>
      </c>
      <c r="C31" s="17">
        <v>44335.581250000003</v>
      </c>
      <c r="D31" s="16" t="s">
        <v>23</v>
      </c>
      <c r="E31" s="16" t="s">
        <v>27</v>
      </c>
      <c r="F31" s="16" t="s">
        <v>24</v>
      </c>
      <c r="G31" s="16" t="s">
        <v>12</v>
      </c>
      <c r="H31" s="18">
        <v>2.221E-4</v>
      </c>
      <c r="I31" s="19">
        <v>396.51</v>
      </c>
      <c r="J31" s="19">
        <v>8.8064871000000003E-2</v>
      </c>
      <c r="K31" s="19">
        <v>0</v>
      </c>
      <c r="L31" s="16">
        <v>1</v>
      </c>
      <c r="M31" s="18">
        <v>4.0724692886562499</v>
      </c>
      <c r="N31" s="18">
        <v>4.0722471886562497</v>
      </c>
    </row>
    <row r="32" spans="1:14" ht="29" x14ac:dyDescent="0.35">
      <c r="A32" s="16"/>
      <c r="B32" s="16">
        <v>32</v>
      </c>
      <c r="C32" s="17">
        <v>44335.582638888889</v>
      </c>
      <c r="D32" s="16" t="s">
        <v>23</v>
      </c>
      <c r="E32" s="16" t="s">
        <v>26</v>
      </c>
      <c r="F32" s="16" t="s">
        <v>24</v>
      </c>
      <c r="G32" s="16" t="s">
        <v>12</v>
      </c>
      <c r="H32" s="18">
        <v>2.221E-4</v>
      </c>
      <c r="I32" s="19">
        <v>395.59</v>
      </c>
      <c r="J32" s="19">
        <v>8.7860539000000001E-2</v>
      </c>
      <c r="K32" s="19">
        <v>0</v>
      </c>
      <c r="L32" s="16">
        <v>1</v>
      </c>
      <c r="M32" s="18">
        <v>4.0722471986562496</v>
      </c>
      <c r="N32" s="18">
        <v>4.0720250986562494</v>
      </c>
    </row>
    <row r="33" spans="1:14" ht="29" x14ac:dyDescent="0.35">
      <c r="A33" s="16"/>
      <c r="B33" s="16">
        <v>33</v>
      </c>
      <c r="C33" s="17">
        <v>44335.582638888889</v>
      </c>
      <c r="D33" s="16" t="s">
        <v>23</v>
      </c>
      <c r="E33" s="16" t="s">
        <v>28</v>
      </c>
      <c r="F33" s="16" t="s">
        <v>24</v>
      </c>
      <c r="G33" s="16" t="s">
        <v>12</v>
      </c>
      <c r="H33" s="18">
        <v>1.8452E-3</v>
      </c>
      <c r="I33" s="19">
        <v>395.59</v>
      </c>
      <c r="J33" s="19">
        <v>0.72994266799999996</v>
      </c>
      <c r="K33" s="19">
        <v>0</v>
      </c>
      <c r="L33" s="16">
        <v>1</v>
      </c>
      <c r="M33" s="18">
        <v>2.3133330699999899</v>
      </c>
      <c r="N33" s="18">
        <v>2.3114878699999899</v>
      </c>
    </row>
    <row r="34" spans="1:14" x14ac:dyDescent="0.35">
      <c r="A34" s="16"/>
      <c r="B34" s="16">
        <v>23</v>
      </c>
      <c r="C34" s="17">
        <v>44335.68472222222</v>
      </c>
      <c r="D34" s="16" t="s">
        <v>8</v>
      </c>
      <c r="E34" s="16" t="s">
        <v>10</v>
      </c>
      <c r="F34" s="16" t="s">
        <v>11</v>
      </c>
      <c r="G34" s="16" t="s">
        <v>12</v>
      </c>
      <c r="H34" s="18">
        <v>5.55</v>
      </c>
      <c r="I34" s="19">
        <v>394.41</v>
      </c>
      <c r="J34" s="19">
        <v>2199.9755</v>
      </c>
      <c r="K34" s="19">
        <v>11</v>
      </c>
      <c r="L34" s="16">
        <v>1</v>
      </c>
      <c r="M34" s="18">
        <v>7.8633330699999897</v>
      </c>
      <c r="N34" s="18">
        <v>13.41333306999999</v>
      </c>
    </row>
    <row r="35" spans="1:14" x14ac:dyDescent="0.35">
      <c r="A35" s="16"/>
      <c r="B35" s="16"/>
      <c r="C35" s="17">
        <v>44337.580555555556</v>
      </c>
      <c r="D35" s="16" t="s">
        <v>13</v>
      </c>
      <c r="E35" s="16"/>
      <c r="F35" s="16" t="s">
        <v>11</v>
      </c>
      <c r="G35" s="16" t="s">
        <v>17</v>
      </c>
      <c r="H35" s="18">
        <v>8.3600000000000005E-4</v>
      </c>
      <c r="I35" s="19">
        <v>37053.760000000002</v>
      </c>
      <c r="J35" s="19">
        <v>29.086943360000003</v>
      </c>
      <c r="K35" s="19">
        <v>1.89</v>
      </c>
      <c r="L35" s="16">
        <v>1</v>
      </c>
      <c r="M35" s="18">
        <v>5.1218E-2</v>
      </c>
      <c r="N35" s="18">
        <v>5.0381999999999996E-2</v>
      </c>
    </row>
    <row r="36" spans="1:14" x14ac:dyDescent="0.35">
      <c r="A36" s="16"/>
      <c r="B36" s="16"/>
      <c r="C36" s="17">
        <v>44337.580555555556</v>
      </c>
      <c r="D36" s="16" t="s">
        <v>13</v>
      </c>
      <c r="E36" s="16"/>
      <c r="F36" s="16" t="s">
        <v>11</v>
      </c>
      <c r="G36" s="16" t="s">
        <v>17</v>
      </c>
      <c r="H36" s="18">
        <v>3.6340000000000001E-3</v>
      </c>
      <c r="I36" s="19">
        <v>37049.96</v>
      </c>
      <c r="J36" s="19">
        <v>134.63955464</v>
      </c>
      <c r="K36" s="19">
        <v>0</v>
      </c>
      <c r="L36" s="16">
        <v>1</v>
      </c>
      <c r="M36" s="18">
        <v>5.0381999999999899E-2</v>
      </c>
      <c r="N36" s="18">
        <v>4.6747999999999901E-2</v>
      </c>
    </row>
    <row r="37" spans="1:14" x14ac:dyDescent="0.35">
      <c r="A37" s="16"/>
      <c r="B37" s="16"/>
      <c r="C37" s="17">
        <v>44337.580555555556</v>
      </c>
      <c r="D37" s="16" t="s">
        <v>13</v>
      </c>
      <c r="E37" s="16"/>
      <c r="F37" s="16" t="s">
        <v>11</v>
      </c>
      <c r="G37" s="16" t="s">
        <v>17</v>
      </c>
      <c r="H37" s="18">
        <v>4.6747999999999998E-2</v>
      </c>
      <c r="I37" s="19">
        <v>37049.949999999997</v>
      </c>
      <c r="J37" s="19">
        <v>1732.0110625999998</v>
      </c>
      <c r="K37" s="19">
        <v>0</v>
      </c>
      <c r="L37" s="16">
        <v>1</v>
      </c>
      <c r="M37" s="18">
        <v>4.6747999999999998E-2</v>
      </c>
      <c r="N37" s="18">
        <v>0</v>
      </c>
    </row>
    <row r="38" spans="1:14" x14ac:dyDescent="0.35">
      <c r="A38" s="16"/>
      <c r="B38" s="16"/>
      <c r="C38" s="17">
        <v>44337.958333333336</v>
      </c>
      <c r="D38" s="16" t="s">
        <v>8</v>
      </c>
      <c r="E38" s="16"/>
      <c r="F38" s="16" t="s">
        <v>11</v>
      </c>
      <c r="G38" s="16" t="s">
        <v>12</v>
      </c>
      <c r="H38" s="18">
        <v>2</v>
      </c>
      <c r="I38" s="19">
        <v>299.8</v>
      </c>
      <c r="J38" s="19">
        <v>599.6</v>
      </c>
      <c r="K38" s="19">
        <v>0</v>
      </c>
      <c r="L38" s="16">
        <v>1</v>
      </c>
      <c r="M38" s="18">
        <v>4.07040201365625</v>
      </c>
      <c r="N38" s="18">
        <v>6.07040201365625</v>
      </c>
    </row>
    <row r="39" spans="1:14" x14ac:dyDescent="0.35">
      <c r="A39" s="16"/>
      <c r="B39" s="16"/>
      <c r="C39" s="17">
        <v>44337.958333333336</v>
      </c>
      <c r="D39" s="16" t="s">
        <v>23</v>
      </c>
      <c r="E39" s="16" t="s">
        <v>88</v>
      </c>
      <c r="F39" s="16" t="s">
        <v>11</v>
      </c>
      <c r="G39" s="16" t="s">
        <v>12</v>
      </c>
      <c r="H39" s="18">
        <v>1.5E-3</v>
      </c>
      <c r="I39" s="19">
        <v>299.8</v>
      </c>
      <c r="J39" s="19">
        <v>0.44970000000000004</v>
      </c>
      <c r="K39" s="19">
        <v>0</v>
      </c>
      <c r="L39" s="16">
        <v>1</v>
      </c>
      <c r="M39" s="18">
        <v>6.07040201365625</v>
      </c>
      <c r="N39" s="18">
        <v>6.0689020136562499</v>
      </c>
    </row>
    <row r="40" spans="1:14" x14ac:dyDescent="0.35">
      <c r="A40" s="16"/>
      <c r="B40" s="16"/>
      <c r="C40" s="17">
        <v>44339</v>
      </c>
      <c r="D40" s="16" t="s">
        <v>66</v>
      </c>
      <c r="E40" s="16"/>
      <c r="F40" s="16" t="s">
        <v>102</v>
      </c>
      <c r="G40" s="16" t="s">
        <v>25</v>
      </c>
      <c r="H40" s="18">
        <v>0</v>
      </c>
      <c r="I40" s="19">
        <v>18.670000000000002</v>
      </c>
      <c r="J40" s="19">
        <v>0</v>
      </c>
      <c r="K40" s="19">
        <v>0</v>
      </c>
      <c r="L40" s="16">
        <v>1</v>
      </c>
      <c r="M40" s="18">
        <v>1.0579999999999999E-3</v>
      </c>
      <c r="N40" s="18">
        <v>1.0579999999999999E-3</v>
      </c>
    </row>
    <row r="41" spans="1:14" x14ac:dyDescent="0.35">
      <c r="A41" s="16"/>
      <c r="B41" s="16"/>
      <c r="C41" s="17">
        <v>44339.370138888888</v>
      </c>
      <c r="D41" s="16" t="s">
        <v>8</v>
      </c>
      <c r="E41" s="16"/>
      <c r="F41" s="16" t="s">
        <v>11</v>
      </c>
      <c r="G41" s="16" t="s">
        <v>12</v>
      </c>
      <c r="H41" s="18">
        <v>1.38</v>
      </c>
      <c r="I41" s="19">
        <v>240.58</v>
      </c>
      <c r="J41" s="19">
        <v>332.00040000000001</v>
      </c>
      <c r="K41" s="19">
        <v>0</v>
      </c>
      <c r="L41" s="16">
        <v>1</v>
      </c>
      <c r="M41" s="18">
        <v>6.0689020136562499</v>
      </c>
      <c r="N41" s="18">
        <v>7.4489020136562498</v>
      </c>
    </row>
    <row r="42" spans="1:14" x14ac:dyDescent="0.35">
      <c r="A42" s="16"/>
      <c r="B42" s="16"/>
      <c r="C42" s="17">
        <v>44339.370138888888</v>
      </c>
      <c r="D42" s="16" t="s">
        <v>23</v>
      </c>
      <c r="E42" s="16" t="s">
        <v>88</v>
      </c>
      <c r="F42" s="16" t="s">
        <v>11</v>
      </c>
      <c r="G42" s="16" t="s">
        <v>12</v>
      </c>
      <c r="H42" s="18">
        <v>1.0349999999999999E-3</v>
      </c>
      <c r="I42" s="19">
        <v>240.58</v>
      </c>
      <c r="J42" s="19">
        <v>0.24900029999999998</v>
      </c>
      <c r="K42" s="19">
        <v>0</v>
      </c>
      <c r="L42" s="16">
        <v>1</v>
      </c>
      <c r="M42" s="18">
        <v>7.4489020136562498</v>
      </c>
      <c r="N42" s="18">
        <v>7.4478670136562499</v>
      </c>
    </row>
    <row r="43" spans="1:14" x14ac:dyDescent="0.35">
      <c r="A43" s="16"/>
      <c r="B43" s="16"/>
      <c r="C43" s="17">
        <v>44339.53125</v>
      </c>
      <c r="D43" s="16" t="s">
        <v>8</v>
      </c>
      <c r="E43" s="16"/>
      <c r="F43" s="16" t="s">
        <v>11</v>
      </c>
      <c r="G43" s="16" t="s">
        <v>12</v>
      </c>
      <c r="H43" s="18">
        <v>0.52</v>
      </c>
      <c r="I43" s="19">
        <v>218</v>
      </c>
      <c r="J43" s="19">
        <v>113.36</v>
      </c>
      <c r="K43" s="19">
        <v>0</v>
      </c>
      <c r="L43" s="16">
        <v>1</v>
      </c>
      <c r="M43" s="18">
        <v>7.4478670136562499</v>
      </c>
      <c r="N43" s="18">
        <v>7.9678670136562495</v>
      </c>
    </row>
    <row r="44" spans="1:14" x14ac:dyDescent="0.35">
      <c r="A44" s="16"/>
      <c r="B44" s="16"/>
      <c r="C44" s="17">
        <v>44339.53125</v>
      </c>
      <c r="D44" s="16" t="s">
        <v>8</v>
      </c>
      <c r="E44" s="16"/>
      <c r="F44" s="16" t="s">
        <v>11</v>
      </c>
      <c r="G44" s="16" t="s">
        <v>12</v>
      </c>
      <c r="H44" s="18">
        <v>1.38</v>
      </c>
      <c r="I44" s="19">
        <v>218</v>
      </c>
      <c r="J44" s="19">
        <v>300.83999999999997</v>
      </c>
      <c r="K44" s="19">
        <v>0</v>
      </c>
      <c r="L44" s="16">
        <v>1</v>
      </c>
      <c r="M44" s="18">
        <v>7.9678670136562397</v>
      </c>
      <c r="N44" s="18">
        <v>9.3478670136562396</v>
      </c>
    </row>
    <row r="45" spans="1:14" x14ac:dyDescent="0.35">
      <c r="A45" s="16"/>
      <c r="B45" s="16"/>
      <c r="C45" s="17">
        <v>44339.53125</v>
      </c>
      <c r="D45" s="16" t="s">
        <v>8</v>
      </c>
      <c r="E45" s="16"/>
      <c r="F45" s="16" t="s">
        <v>11</v>
      </c>
      <c r="G45" s="16" t="s">
        <v>12</v>
      </c>
      <c r="H45" s="18">
        <v>0.4</v>
      </c>
      <c r="I45" s="19">
        <v>217.93</v>
      </c>
      <c r="J45" s="19">
        <v>87.172000000000011</v>
      </c>
      <c r="K45" s="19">
        <v>0</v>
      </c>
      <c r="L45" s="16">
        <v>1</v>
      </c>
      <c r="M45" s="18">
        <v>9.3478670136562396</v>
      </c>
      <c r="N45" s="18">
        <v>9.74786701365624</v>
      </c>
    </row>
    <row r="46" spans="1:14" x14ac:dyDescent="0.35">
      <c r="A46" s="16"/>
      <c r="B46" s="16"/>
      <c r="C46" s="17">
        <v>44339.53125</v>
      </c>
      <c r="D46" s="16" t="s">
        <v>23</v>
      </c>
      <c r="E46" s="16" t="s">
        <v>88</v>
      </c>
      <c r="F46" s="16" t="s">
        <v>11</v>
      </c>
      <c r="G46" s="16" t="s">
        <v>12</v>
      </c>
      <c r="H46" s="18">
        <v>1.735E-3</v>
      </c>
      <c r="I46" s="19">
        <v>217.98</v>
      </c>
      <c r="J46" s="19">
        <v>0.37819529999999996</v>
      </c>
      <c r="K46" s="19">
        <v>0</v>
      </c>
      <c r="L46" s="16">
        <v>1</v>
      </c>
      <c r="M46" s="18">
        <v>9.74786701365624</v>
      </c>
      <c r="N46" s="18">
        <v>9.7461320136562399</v>
      </c>
    </row>
    <row r="47" spans="1:14" ht="29" x14ac:dyDescent="0.35">
      <c r="A47" s="16"/>
      <c r="B47" s="16"/>
      <c r="C47" s="17">
        <v>44339.65519675926</v>
      </c>
      <c r="D47" s="16" t="s">
        <v>8</v>
      </c>
      <c r="E47" s="16" t="s">
        <v>32</v>
      </c>
      <c r="F47" s="16" t="s">
        <v>34</v>
      </c>
      <c r="G47" s="16" t="s">
        <v>25</v>
      </c>
      <c r="H47" s="18">
        <v>3.2000000000000001E-2</v>
      </c>
      <c r="I47" s="19">
        <v>16.63</v>
      </c>
      <c r="J47" s="19">
        <v>0.53215999999999997</v>
      </c>
      <c r="K47" s="19">
        <v>0</v>
      </c>
      <c r="L47" s="16">
        <v>1</v>
      </c>
      <c r="M47" s="18">
        <v>71.492040000000003</v>
      </c>
      <c r="N47" s="18">
        <v>71.524039999999999</v>
      </c>
    </row>
    <row r="48" spans="1:14" ht="58" x14ac:dyDescent="0.35">
      <c r="A48" s="16"/>
      <c r="B48" s="16">
        <v>26</v>
      </c>
      <c r="C48" s="17">
        <v>44340.613888888889</v>
      </c>
      <c r="D48" s="16" t="s">
        <v>23</v>
      </c>
      <c r="E48" s="16" t="s">
        <v>86</v>
      </c>
      <c r="F48" s="16" t="s">
        <v>24</v>
      </c>
      <c r="G48" s="16" t="s">
        <v>12</v>
      </c>
      <c r="H48" s="18">
        <v>4.0749999999999996E-3</v>
      </c>
      <c r="I48" s="19">
        <v>326.38</v>
      </c>
      <c r="J48" s="19">
        <v>1.3299984999999999</v>
      </c>
      <c r="K48" s="19">
        <v>0</v>
      </c>
      <c r="L48" s="16">
        <v>1</v>
      </c>
      <c r="M48" s="18">
        <v>71.460040000000006</v>
      </c>
      <c r="N48" s="18">
        <v>71.455965000000006</v>
      </c>
    </row>
    <row r="49" spans="1:14" x14ac:dyDescent="0.35">
      <c r="A49" s="16"/>
      <c r="B49" s="16"/>
      <c r="C49" s="17">
        <v>44340.613888888889</v>
      </c>
      <c r="D49" s="16" t="s">
        <v>13</v>
      </c>
      <c r="E49" s="16"/>
      <c r="F49" s="16" t="s">
        <v>24</v>
      </c>
      <c r="G49" s="16" t="s">
        <v>12</v>
      </c>
      <c r="H49" s="18">
        <v>0.27295999999999998</v>
      </c>
      <c r="I49" s="19">
        <v>323.33</v>
      </c>
      <c r="J49" s="19">
        <v>88.056156799999982</v>
      </c>
      <c r="K49" s="19">
        <v>0.2</v>
      </c>
      <c r="L49" s="16">
        <v>1</v>
      </c>
      <c r="M49" s="18">
        <v>9.7461320136562399</v>
      </c>
      <c r="N49" s="18">
        <v>9.4731720136562405</v>
      </c>
    </row>
    <row r="50" spans="1:14" x14ac:dyDescent="0.35">
      <c r="A50" s="16"/>
      <c r="B50" s="16"/>
      <c r="C50" s="17">
        <v>44340.613888888889</v>
      </c>
      <c r="D50" s="16" t="s">
        <v>8</v>
      </c>
      <c r="E50" s="16"/>
      <c r="F50" s="16" t="s">
        <v>24</v>
      </c>
      <c r="G50" s="16" t="s">
        <v>25</v>
      </c>
      <c r="H50" s="18">
        <v>5.3152900000000001</v>
      </c>
      <c r="I50" s="19">
        <v>16.649999999999999</v>
      </c>
      <c r="J50" s="19">
        <v>88.749578499999998</v>
      </c>
      <c r="K50" s="19">
        <v>0.25</v>
      </c>
      <c r="L50" s="16">
        <v>1</v>
      </c>
      <c r="M50" s="18">
        <v>9.7420570136562397</v>
      </c>
      <c r="N50" s="18">
        <v>15.057347013656241</v>
      </c>
    </row>
    <row r="51" spans="1:14" ht="29" x14ac:dyDescent="0.35">
      <c r="A51" s="16"/>
      <c r="B51" s="16"/>
      <c r="C51" s="17">
        <v>44340.613888888889</v>
      </c>
      <c r="D51" s="16" t="s">
        <v>23</v>
      </c>
      <c r="E51" s="16" t="s">
        <v>87</v>
      </c>
      <c r="F51" s="16" t="s">
        <v>24</v>
      </c>
      <c r="G51" s="16" t="s">
        <v>12</v>
      </c>
      <c r="H51" s="18">
        <v>7.1179999999999995E-4</v>
      </c>
      <c r="I51" s="19">
        <v>323.33</v>
      </c>
      <c r="J51" s="19">
        <v>0.23014629399999997</v>
      </c>
      <c r="K51" s="19">
        <v>0</v>
      </c>
      <c r="L51" s="16">
        <v>1</v>
      </c>
      <c r="M51" s="18">
        <v>66.144750000000002</v>
      </c>
      <c r="N51" s="18">
        <v>66.144038199999997</v>
      </c>
    </row>
    <row r="52" spans="1:14" ht="29" x14ac:dyDescent="0.35">
      <c r="A52" s="16"/>
      <c r="B52" s="16">
        <v>33</v>
      </c>
      <c r="C52" s="17">
        <v>44340.619444444441</v>
      </c>
      <c r="D52" s="16" t="s">
        <v>23</v>
      </c>
      <c r="E52" s="16" t="s">
        <v>29</v>
      </c>
      <c r="F52" s="16" t="s">
        <v>24</v>
      </c>
      <c r="G52" s="16" t="s">
        <v>12</v>
      </c>
      <c r="H52" s="18">
        <v>9.6250000000000003E-4</v>
      </c>
      <c r="I52" s="19">
        <v>325.64</v>
      </c>
      <c r="J52" s="19">
        <v>0.3134285</v>
      </c>
      <c r="K52" s="19">
        <v>0</v>
      </c>
      <c r="L52" s="16">
        <v>1</v>
      </c>
      <c r="M52" s="18">
        <v>9.4690970136562491</v>
      </c>
      <c r="N52" s="18">
        <v>9.4681345136562491</v>
      </c>
    </row>
    <row r="53" spans="1:14" ht="29" x14ac:dyDescent="0.35">
      <c r="A53" s="16"/>
      <c r="B53" s="16"/>
      <c r="C53" s="17">
        <v>44340.620833333334</v>
      </c>
      <c r="D53" s="16" t="s">
        <v>23</v>
      </c>
      <c r="E53" s="16" t="s">
        <v>30</v>
      </c>
      <c r="F53" s="16" t="s">
        <v>31</v>
      </c>
      <c r="G53" s="16" t="s">
        <v>12</v>
      </c>
      <c r="H53" s="18">
        <v>6.0718499999999999E-4</v>
      </c>
      <c r="I53" s="19">
        <v>329.39</v>
      </c>
      <c r="J53" s="19">
        <v>0.20000066714999998</v>
      </c>
      <c r="K53" s="19">
        <v>0</v>
      </c>
      <c r="L53" s="16">
        <v>0</v>
      </c>
      <c r="M53" s="18">
        <v>9.4690970136562491</v>
      </c>
      <c r="N53" s="18">
        <v>9.4684898286562493</v>
      </c>
    </row>
    <row r="54" spans="1:14" ht="29" x14ac:dyDescent="0.35">
      <c r="A54" s="16"/>
      <c r="B54" s="16"/>
      <c r="C54" s="17">
        <v>44340.623749999999</v>
      </c>
      <c r="D54" s="16" t="s">
        <v>8</v>
      </c>
      <c r="E54" s="16" t="s">
        <v>30</v>
      </c>
      <c r="F54" s="16" t="s">
        <v>34</v>
      </c>
      <c r="G54" s="16" t="s">
        <v>25</v>
      </c>
      <c r="H54" s="18">
        <v>1.218</v>
      </c>
      <c r="I54" s="19">
        <v>16.63</v>
      </c>
      <c r="J54" s="19">
        <v>20.255339999999997</v>
      </c>
      <c r="K54" s="19">
        <v>0</v>
      </c>
      <c r="L54" s="16">
        <v>1</v>
      </c>
      <c r="M54" s="18">
        <v>9.4683852386562499</v>
      </c>
      <c r="N54" s="18">
        <v>10.68638523865625</v>
      </c>
    </row>
    <row r="55" spans="1:14" ht="29" x14ac:dyDescent="0.35">
      <c r="A55" s="16"/>
      <c r="B55" s="16"/>
      <c r="C55" s="17">
        <v>44340.625</v>
      </c>
      <c r="D55" s="16" t="s">
        <v>23</v>
      </c>
      <c r="E55" s="16" t="s">
        <v>32</v>
      </c>
      <c r="F55" s="16" t="s">
        <v>33</v>
      </c>
      <c r="G55" s="16" t="s">
        <v>12</v>
      </c>
      <c r="H55" s="18">
        <v>6.52825E-4</v>
      </c>
      <c r="I55" s="19">
        <v>321.68</v>
      </c>
      <c r="J55" s="19">
        <v>0.21000074600000002</v>
      </c>
      <c r="K55" s="19">
        <v>0</v>
      </c>
      <c r="L55" s="16">
        <v>1</v>
      </c>
      <c r="M55" s="18">
        <v>9.4690970136562491</v>
      </c>
      <c r="N55" s="18">
        <v>9.4684441886562496</v>
      </c>
    </row>
    <row r="56" spans="1:14" x14ac:dyDescent="0.35">
      <c r="A56" s="16"/>
      <c r="B56" s="16"/>
      <c r="C56" s="17">
        <v>44340.904374999998</v>
      </c>
      <c r="D56" s="16" t="s">
        <v>13</v>
      </c>
      <c r="E56" s="16"/>
      <c r="F56" s="16" t="s">
        <v>11</v>
      </c>
      <c r="G56" s="16" t="s">
        <v>12</v>
      </c>
      <c r="H56" s="18">
        <v>0.46</v>
      </c>
      <c r="I56" s="19">
        <v>354</v>
      </c>
      <c r="J56" s="19">
        <v>162.84</v>
      </c>
      <c r="K56" s="19">
        <v>0</v>
      </c>
      <c r="L56" s="16">
        <v>0</v>
      </c>
      <c r="M56" s="18">
        <v>9.4677324136562504</v>
      </c>
      <c r="N56" s="18">
        <v>9.0077324136562495</v>
      </c>
    </row>
    <row r="57" spans="1:14" x14ac:dyDescent="0.35">
      <c r="A57" s="16"/>
      <c r="B57" s="16"/>
      <c r="C57" s="17">
        <v>44340.904560185183</v>
      </c>
      <c r="D57" s="16" t="s">
        <v>13</v>
      </c>
      <c r="E57" s="16"/>
      <c r="F57" s="16" t="s">
        <v>11</v>
      </c>
      <c r="G57" s="16" t="s">
        <v>12</v>
      </c>
      <c r="H57" s="18">
        <v>0.08</v>
      </c>
      <c r="I57" s="19">
        <v>354</v>
      </c>
      <c r="J57" s="19">
        <v>28.32</v>
      </c>
      <c r="K57" s="19">
        <v>0</v>
      </c>
      <c r="L57" s="16">
        <v>0</v>
      </c>
      <c r="M57" s="18">
        <v>9.0077324136562495</v>
      </c>
      <c r="N57" s="18">
        <v>8.9277324136562495</v>
      </c>
    </row>
    <row r="58" spans="1:14" x14ac:dyDescent="0.35">
      <c r="A58" s="16"/>
      <c r="B58" s="16"/>
      <c r="C58" s="17">
        <v>44340.904560185183</v>
      </c>
      <c r="D58" s="16" t="s">
        <v>13</v>
      </c>
      <c r="E58" s="16"/>
      <c r="F58" s="16" t="s">
        <v>11</v>
      </c>
      <c r="G58" s="16" t="s">
        <v>12</v>
      </c>
      <c r="H58" s="18">
        <v>5.13</v>
      </c>
      <c r="I58" s="19">
        <v>354</v>
      </c>
      <c r="J58" s="19">
        <v>1816.02</v>
      </c>
      <c r="K58" s="19">
        <v>0</v>
      </c>
      <c r="L58" s="16">
        <v>0</v>
      </c>
      <c r="M58" s="18">
        <v>8.9277324136562495</v>
      </c>
      <c r="N58" s="18">
        <v>3.7977324136562496</v>
      </c>
    </row>
    <row r="59" spans="1:14" x14ac:dyDescent="0.35">
      <c r="A59" s="16"/>
      <c r="B59" s="16"/>
      <c r="C59" s="17">
        <v>44340.904560185183</v>
      </c>
      <c r="D59" s="16" t="s">
        <v>23</v>
      </c>
      <c r="E59" s="16" t="s">
        <v>89</v>
      </c>
      <c r="F59" s="16" t="s">
        <v>11</v>
      </c>
      <c r="G59" s="16" t="s">
        <v>12</v>
      </c>
      <c r="H59" s="18">
        <v>4.2580999999999999E-3</v>
      </c>
      <c r="I59" s="19">
        <v>354</v>
      </c>
      <c r="J59" s="19">
        <v>1.5073673999999999</v>
      </c>
      <c r="K59" s="19">
        <v>0</v>
      </c>
      <c r="L59" s="16">
        <v>1</v>
      </c>
      <c r="M59" s="18">
        <v>3.7977324136562398</v>
      </c>
      <c r="N59" s="18">
        <v>3.7934743136562399</v>
      </c>
    </row>
    <row r="60" spans="1:14" x14ac:dyDescent="0.35">
      <c r="A60" s="16"/>
      <c r="B60" s="16"/>
      <c r="C60" s="17">
        <v>44341</v>
      </c>
      <c r="D60" s="16" t="s">
        <v>66</v>
      </c>
      <c r="E60" s="16"/>
      <c r="F60" s="16" t="s">
        <v>102</v>
      </c>
      <c r="G60" s="16" t="s">
        <v>25</v>
      </c>
      <c r="H60" s="18">
        <v>0</v>
      </c>
      <c r="I60" s="19">
        <v>18.55</v>
      </c>
      <c r="J60" s="19">
        <v>0</v>
      </c>
      <c r="K60" s="19">
        <v>0</v>
      </c>
      <c r="L60" s="16">
        <v>1</v>
      </c>
      <c r="M60" s="18">
        <v>1.0579999999999999E-3</v>
      </c>
      <c r="N60" s="18">
        <v>1.0579999999999999E-3</v>
      </c>
    </row>
    <row r="61" spans="1:14" x14ac:dyDescent="0.35">
      <c r="A61" s="16"/>
      <c r="B61" s="16"/>
      <c r="C61" s="17">
        <v>44342</v>
      </c>
      <c r="D61" s="16" t="s">
        <v>66</v>
      </c>
      <c r="E61" s="16"/>
      <c r="F61" s="16" t="s">
        <v>102</v>
      </c>
      <c r="G61" s="16" t="s">
        <v>25</v>
      </c>
      <c r="H61" s="18">
        <v>6.8500000000000227E-3</v>
      </c>
      <c r="I61" s="19">
        <v>16.670000000000002</v>
      </c>
      <c r="J61" s="19">
        <v>0.11418950000000039</v>
      </c>
      <c r="K61" s="19">
        <v>0</v>
      </c>
      <c r="L61" s="16">
        <v>1</v>
      </c>
      <c r="M61" s="18">
        <v>1.0579999999999999E-3</v>
      </c>
      <c r="N61" s="18">
        <v>7.9080000000000227E-3</v>
      </c>
    </row>
    <row r="62" spans="1:14" x14ac:dyDescent="0.35">
      <c r="A62" s="16"/>
      <c r="B62" s="16"/>
      <c r="C62" s="17">
        <v>44344</v>
      </c>
      <c r="D62" s="16" t="s">
        <v>66</v>
      </c>
      <c r="E62" s="16"/>
      <c r="F62" s="16" t="s">
        <v>102</v>
      </c>
      <c r="G62" s="16" t="s">
        <v>25</v>
      </c>
      <c r="H62" s="18">
        <v>0</v>
      </c>
      <c r="I62" s="19">
        <v>16.43</v>
      </c>
      <c r="J62" s="19">
        <v>0</v>
      </c>
      <c r="K62" s="19">
        <v>0</v>
      </c>
      <c r="L62" s="16">
        <v>1</v>
      </c>
      <c r="M62" s="18">
        <v>1.0579999999999999E-3</v>
      </c>
      <c r="N62" s="18">
        <v>1.0579999999999999E-3</v>
      </c>
    </row>
    <row r="63" spans="1:14" x14ac:dyDescent="0.35">
      <c r="A63" s="16"/>
      <c r="B63" s="16"/>
      <c r="C63" s="17">
        <v>44344</v>
      </c>
      <c r="D63" s="16" t="s">
        <v>66</v>
      </c>
      <c r="E63" s="16"/>
      <c r="F63" s="16" t="s">
        <v>102</v>
      </c>
      <c r="G63" s="16" t="s">
        <v>25</v>
      </c>
      <c r="H63" s="18">
        <v>2.3510000000001696E-2</v>
      </c>
      <c r="I63" s="19">
        <v>16.13</v>
      </c>
      <c r="J63" s="19">
        <v>0.37921630000002732</v>
      </c>
      <c r="K63" s="19">
        <v>0</v>
      </c>
      <c r="L63" s="16">
        <v>1</v>
      </c>
      <c r="M63" s="18">
        <v>1.0579999999999999E-3</v>
      </c>
      <c r="N63" s="18">
        <v>2.4568000000001696E-2</v>
      </c>
    </row>
    <row r="64" spans="1:14" x14ac:dyDescent="0.35">
      <c r="A64" s="16"/>
      <c r="B64" s="16"/>
      <c r="C64" s="17">
        <v>44344.158333333333</v>
      </c>
      <c r="D64" s="16" t="s">
        <v>66</v>
      </c>
      <c r="E64" s="16" t="s">
        <v>35</v>
      </c>
      <c r="F64" s="16" t="s">
        <v>36</v>
      </c>
      <c r="G64" s="16" t="s">
        <v>25</v>
      </c>
      <c r="H64" s="18">
        <v>0.83089999999999997</v>
      </c>
      <c r="I64" s="19">
        <v>14.93</v>
      </c>
      <c r="J64" s="19">
        <v>12.405336999999999</v>
      </c>
      <c r="K64" s="19">
        <v>0</v>
      </c>
      <c r="L64" s="16">
        <v>1</v>
      </c>
      <c r="M64" s="18">
        <v>72.710040000000006</v>
      </c>
      <c r="N64" s="18">
        <v>73.540940000000006</v>
      </c>
    </row>
    <row r="65" spans="1:14" ht="72.5" x14ac:dyDescent="0.35">
      <c r="A65" s="16" t="s">
        <v>37</v>
      </c>
      <c r="B65" s="16"/>
      <c r="C65" s="17">
        <v>44344.158333333333</v>
      </c>
      <c r="D65" s="16" t="s">
        <v>8</v>
      </c>
      <c r="E65" s="16" t="s">
        <v>35</v>
      </c>
      <c r="F65" s="16" t="s">
        <v>36</v>
      </c>
      <c r="G65" s="16" t="s">
        <v>25</v>
      </c>
      <c r="H65" s="18">
        <v>5.992</v>
      </c>
      <c r="I65" s="19">
        <v>14.93</v>
      </c>
      <c r="J65" s="19">
        <v>89.460560000000001</v>
      </c>
      <c r="K65" s="19">
        <v>0</v>
      </c>
      <c r="L65" s="16">
        <v>1</v>
      </c>
      <c r="M65" s="18">
        <v>72.710040000000006</v>
      </c>
      <c r="N65" s="18">
        <v>78.702040000000011</v>
      </c>
    </row>
    <row r="66" spans="1:14" x14ac:dyDescent="0.35">
      <c r="A66" s="16"/>
      <c r="B66" s="16"/>
      <c r="C66" s="17">
        <v>44344.158333333333</v>
      </c>
      <c r="D66" s="16" t="s">
        <v>23</v>
      </c>
      <c r="E66" s="16" t="s">
        <v>35</v>
      </c>
      <c r="F66" s="16" t="s">
        <v>36</v>
      </c>
      <c r="G66" s="16" t="s">
        <v>12</v>
      </c>
      <c r="H66" s="18">
        <v>6.3210000000000002E-4</v>
      </c>
      <c r="I66" s="19">
        <v>363.9</v>
      </c>
      <c r="J66" s="19">
        <v>0.23002118999999999</v>
      </c>
      <c r="K66" s="19">
        <v>0</v>
      </c>
      <c r="L66" s="16">
        <v>1</v>
      </c>
      <c r="M66" s="18">
        <v>3.7934743536562401</v>
      </c>
      <c r="N66" s="18">
        <v>3.7928422536562403</v>
      </c>
    </row>
    <row r="67" spans="1:14" x14ac:dyDescent="0.35">
      <c r="A67" s="16"/>
      <c r="B67" s="16"/>
      <c r="C67" s="17">
        <v>44344.158333333333</v>
      </c>
      <c r="D67" s="16" t="s">
        <v>23</v>
      </c>
      <c r="E67" s="16" t="s">
        <v>38</v>
      </c>
      <c r="F67" s="16" t="s">
        <v>36</v>
      </c>
      <c r="G67" s="16" t="s">
        <v>12</v>
      </c>
      <c r="H67" s="18">
        <v>6.0249999999999995E-4</v>
      </c>
      <c r="I67" s="19">
        <v>132.78</v>
      </c>
      <c r="J67" s="19">
        <v>7.999995E-2</v>
      </c>
      <c r="K67" s="19">
        <v>0</v>
      </c>
      <c r="L67" s="16">
        <v>1</v>
      </c>
      <c r="M67" s="18">
        <v>3.7928422536562398</v>
      </c>
      <c r="N67" s="18">
        <v>3.79223975365624</v>
      </c>
    </row>
    <row r="68" spans="1:14" ht="29" x14ac:dyDescent="0.35">
      <c r="A68" s="16"/>
      <c r="B68" s="16"/>
      <c r="C68" s="17">
        <v>44344.159722222219</v>
      </c>
      <c r="D68" s="16" t="s">
        <v>23</v>
      </c>
      <c r="E68" s="16" t="s">
        <v>90</v>
      </c>
      <c r="F68" s="16" t="s">
        <v>36</v>
      </c>
      <c r="G68" s="16" t="s">
        <v>12</v>
      </c>
      <c r="H68" s="18">
        <v>2.221E-4</v>
      </c>
      <c r="I68" s="19">
        <v>360.2</v>
      </c>
      <c r="J68" s="19">
        <v>8.0000420000000003E-2</v>
      </c>
      <c r="K68" s="19">
        <v>0</v>
      </c>
      <c r="L68" s="16">
        <v>1</v>
      </c>
      <c r="M68" s="18">
        <v>3.79223975365624</v>
      </c>
      <c r="N68" s="18">
        <v>3.7920176536562402</v>
      </c>
    </row>
    <row r="69" spans="1:14" ht="29" x14ac:dyDescent="0.35">
      <c r="A69" s="16"/>
      <c r="B69" s="16"/>
      <c r="C69" s="17">
        <v>44344.160416666666</v>
      </c>
      <c r="D69" s="16" t="s">
        <v>23</v>
      </c>
      <c r="E69" s="16" t="s">
        <v>91</v>
      </c>
      <c r="F69" s="16" t="s">
        <v>36</v>
      </c>
      <c r="G69" s="16" t="s">
        <v>12</v>
      </c>
      <c r="H69" s="18">
        <v>8.4900000000000004E-4</v>
      </c>
      <c r="I69" s="19">
        <v>353.36</v>
      </c>
      <c r="J69" s="19">
        <v>0.30000264000000004</v>
      </c>
      <c r="K69" s="19">
        <v>0</v>
      </c>
      <c r="L69" s="16">
        <v>1</v>
      </c>
      <c r="M69" s="18">
        <v>3.79201765365625</v>
      </c>
      <c r="N69" s="18">
        <v>3.7911686536562499</v>
      </c>
    </row>
    <row r="70" spans="1:14" ht="29" x14ac:dyDescent="0.35">
      <c r="A70" s="16"/>
      <c r="B70" s="16"/>
      <c r="C70" s="17">
        <v>44344.161111111112</v>
      </c>
      <c r="D70" s="16" t="s">
        <v>23</v>
      </c>
      <c r="E70" s="16" t="s">
        <v>39</v>
      </c>
      <c r="F70" s="16" t="s">
        <v>36</v>
      </c>
      <c r="G70" s="16" t="s">
        <v>12</v>
      </c>
      <c r="H70" s="18">
        <v>1.1538E-3</v>
      </c>
      <c r="I70" s="19">
        <v>355.36</v>
      </c>
      <c r="J70" s="19">
        <v>0.41001436800000002</v>
      </c>
      <c r="K70" s="19">
        <v>0</v>
      </c>
      <c r="L70" s="16">
        <v>1</v>
      </c>
      <c r="M70" s="18">
        <v>3.7911686536562499</v>
      </c>
      <c r="N70" s="18">
        <v>3.7900148536562499</v>
      </c>
    </row>
    <row r="71" spans="1:14" ht="29" x14ac:dyDescent="0.35">
      <c r="A71" s="16"/>
      <c r="B71" s="16"/>
      <c r="C71" s="17">
        <v>44344.161111111112</v>
      </c>
      <c r="D71" s="16" t="s">
        <v>23</v>
      </c>
      <c r="E71" s="16" t="s">
        <v>40</v>
      </c>
      <c r="F71" s="16" t="s">
        <v>41</v>
      </c>
      <c r="G71" s="16" t="s">
        <v>12</v>
      </c>
      <c r="H71" s="18">
        <v>3.813E-4</v>
      </c>
      <c r="I71" s="19">
        <v>367.21</v>
      </c>
      <c r="J71" s="19">
        <v>0.14001717299999999</v>
      </c>
      <c r="K71" s="19">
        <v>0</v>
      </c>
      <c r="L71" s="16">
        <v>1</v>
      </c>
      <c r="M71" s="18">
        <v>3.7900148936562501</v>
      </c>
      <c r="N71" s="18">
        <v>3.7896335936562502</v>
      </c>
    </row>
    <row r="72" spans="1:14" ht="29" x14ac:dyDescent="0.35">
      <c r="A72" s="16"/>
      <c r="B72" s="16"/>
      <c r="C72" s="17">
        <v>44344.163888888892</v>
      </c>
      <c r="D72" s="16" t="s">
        <v>23</v>
      </c>
      <c r="E72" s="16" t="s">
        <v>42</v>
      </c>
      <c r="F72" s="16" t="s">
        <v>11</v>
      </c>
      <c r="G72" s="16" t="s">
        <v>12</v>
      </c>
      <c r="H72" s="18">
        <v>7.4999999999999993E-5</v>
      </c>
      <c r="I72" s="19">
        <v>353.22</v>
      </c>
      <c r="J72" s="19">
        <v>2.6491500000000001E-2</v>
      </c>
      <c r="K72" s="19">
        <v>0</v>
      </c>
      <c r="L72" s="16">
        <v>1</v>
      </c>
      <c r="M72" s="18">
        <v>3.7896336436562499</v>
      </c>
      <c r="N72" s="18">
        <v>3.7895586436562501</v>
      </c>
    </row>
    <row r="73" spans="1:14" x14ac:dyDescent="0.35">
      <c r="A73" s="16"/>
      <c r="B73" s="16"/>
      <c r="C73" s="17">
        <v>44344.165277777778</v>
      </c>
      <c r="D73" s="16" t="s">
        <v>13</v>
      </c>
      <c r="E73" s="16"/>
      <c r="F73" s="16" t="s">
        <v>11</v>
      </c>
      <c r="G73" s="16" t="s">
        <v>12</v>
      </c>
      <c r="H73" s="18">
        <v>3.5</v>
      </c>
      <c r="I73" s="19">
        <v>365.06</v>
      </c>
      <c r="J73" s="19">
        <v>1276.44</v>
      </c>
      <c r="K73" s="19">
        <v>1.27</v>
      </c>
      <c r="L73" s="16"/>
      <c r="M73" s="18">
        <v>3.7895586436562501</v>
      </c>
      <c r="N73" s="18">
        <v>0.28955864365625006</v>
      </c>
    </row>
    <row r="74" spans="1:14" ht="72.5" x14ac:dyDescent="0.35">
      <c r="A74" s="16" t="s">
        <v>43</v>
      </c>
      <c r="B74" s="16"/>
      <c r="C74" s="17">
        <v>44344.165277777778</v>
      </c>
      <c r="D74" s="16" t="s">
        <v>13</v>
      </c>
      <c r="E74" s="16"/>
      <c r="F74" s="16" t="s">
        <v>11</v>
      </c>
      <c r="G74" s="16" t="s">
        <v>12</v>
      </c>
      <c r="H74" s="18">
        <v>0.13001641659999999</v>
      </c>
      <c r="I74" s="19">
        <v>365.06</v>
      </c>
      <c r="J74" s="19">
        <v>46.193793043995996</v>
      </c>
      <c r="K74" s="19">
        <v>1.27</v>
      </c>
      <c r="L74" s="16"/>
      <c r="M74" s="18">
        <v>0.28955864365625</v>
      </c>
      <c r="N74" s="18">
        <v>0.15954222705625001</v>
      </c>
    </row>
    <row r="75" spans="1:14" x14ac:dyDescent="0.35">
      <c r="A75" s="16"/>
      <c r="B75" s="16"/>
      <c r="C75" s="17">
        <v>44347.972037037034</v>
      </c>
      <c r="D75" s="16" t="s">
        <v>8</v>
      </c>
      <c r="E75" s="16"/>
      <c r="F75" s="16" t="s">
        <v>11</v>
      </c>
      <c r="G75" s="16" t="s">
        <v>12</v>
      </c>
      <c r="H75" s="18">
        <v>3.03</v>
      </c>
      <c r="I75" s="19">
        <v>352.3</v>
      </c>
      <c r="J75" s="19">
        <v>1067.4690000000001</v>
      </c>
      <c r="K75" s="19"/>
      <c r="L75" s="16"/>
      <c r="M75" s="18">
        <v>0.15954222703759399</v>
      </c>
      <c r="N75" s="18">
        <v>3.1895422270375939</v>
      </c>
    </row>
    <row r="76" spans="1:14" x14ac:dyDescent="0.35">
      <c r="A76" s="16"/>
      <c r="B76" s="16"/>
      <c r="C76" s="17">
        <v>44347.972037037034</v>
      </c>
      <c r="D76" s="16" t="s">
        <v>8</v>
      </c>
      <c r="E76" s="16"/>
      <c r="F76" s="16" t="s">
        <v>11</v>
      </c>
      <c r="G76" s="16" t="s">
        <v>12</v>
      </c>
      <c r="H76" s="18">
        <v>2.59</v>
      </c>
      <c r="I76" s="19">
        <v>352.3</v>
      </c>
      <c r="J76" s="19">
        <v>912.45699999999999</v>
      </c>
      <c r="K76" s="19"/>
      <c r="L76" s="16"/>
      <c r="M76" s="18">
        <v>3.1895422270375899</v>
      </c>
      <c r="N76" s="18">
        <v>5.7795422270375898</v>
      </c>
    </row>
    <row r="77" spans="1:14" x14ac:dyDescent="0.35">
      <c r="A77" s="16"/>
      <c r="B77" s="16"/>
      <c r="C77" s="17">
        <v>44347.972037037034</v>
      </c>
      <c r="D77" s="16" t="s">
        <v>8</v>
      </c>
      <c r="E77" s="16"/>
      <c r="F77" s="16" t="s">
        <v>11</v>
      </c>
      <c r="G77" s="16" t="s">
        <v>12</v>
      </c>
      <c r="H77" s="18">
        <v>7.94</v>
      </c>
      <c r="I77" s="19">
        <v>352.3</v>
      </c>
      <c r="J77" s="19">
        <v>2797.2620000000002</v>
      </c>
      <c r="K77" s="19"/>
      <c r="L77" s="16"/>
      <c r="M77" s="18">
        <v>5.7795422270375898</v>
      </c>
      <c r="N77" s="18">
        <v>13.719542227037589</v>
      </c>
    </row>
    <row r="78" spans="1:14" x14ac:dyDescent="0.35">
      <c r="A78" s="16"/>
      <c r="B78" s="16"/>
      <c r="C78" s="17">
        <v>44347.972037037034</v>
      </c>
      <c r="D78" s="16" t="s">
        <v>23</v>
      </c>
      <c r="E78" s="16" t="s">
        <v>92</v>
      </c>
      <c r="F78" s="16" t="s">
        <v>11</v>
      </c>
      <c r="G78" s="16" t="s">
        <v>12</v>
      </c>
      <c r="H78" s="18">
        <v>1.017E-2</v>
      </c>
      <c r="I78" s="19">
        <v>352.3</v>
      </c>
      <c r="J78" s="19">
        <v>3.582891</v>
      </c>
      <c r="K78" s="19"/>
      <c r="L78" s="16"/>
      <c r="M78" s="18">
        <v>13.7195422270375</v>
      </c>
      <c r="N78" s="18">
        <v>13.7093722270375</v>
      </c>
    </row>
    <row r="79" spans="1:14" x14ac:dyDescent="0.35">
      <c r="A79" s="16"/>
      <c r="B79" s="16"/>
      <c r="C79" s="17">
        <v>44347.978587962964</v>
      </c>
      <c r="D79" s="16" t="s">
        <v>23</v>
      </c>
      <c r="E79" s="16" t="s">
        <v>44</v>
      </c>
      <c r="F79" s="16" t="s">
        <v>11</v>
      </c>
      <c r="G79" s="16" t="s">
        <v>12</v>
      </c>
      <c r="H79" s="18">
        <v>7.4999999999999993E-5</v>
      </c>
      <c r="I79" s="19">
        <v>351.65</v>
      </c>
      <c r="J79" s="19">
        <v>2.6373749999999994E-2</v>
      </c>
      <c r="K79" s="19"/>
      <c r="L79" s="16"/>
      <c r="M79" s="18">
        <v>13.7093722270375</v>
      </c>
      <c r="N79" s="18">
        <v>13.709297227037499</v>
      </c>
    </row>
    <row r="80" spans="1:14" x14ac:dyDescent="0.35">
      <c r="A80" s="16"/>
      <c r="B80" s="16"/>
      <c r="C80" s="17">
        <v>44347.981076388889</v>
      </c>
      <c r="D80" s="16" t="s">
        <v>23</v>
      </c>
      <c r="E80" s="16" t="s">
        <v>45</v>
      </c>
      <c r="F80" s="16" t="s">
        <v>41</v>
      </c>
      <c r="G80" s="16" t="s">
        <v>12</v>
      </c>
      <c r="H80" s="18">
        <v>4.0749999999999996E-3</v>
      </c>
      <c r="I80" s="19">
        <v>351.32</v>
      </c>
      <c r="J80" s="19">
        <v>1.4316289999999998</v>
      </c>
      <c r="K80" s="19"/>
      <c r="L80" s="16"/>
      <c r="M80" s="18">
        <v>13.709297227037499</v>
      </c>
      <c r="N80" s="18">
        <v>13.705222227037499</v>
      </c>
    </row>
    <row r="81" spans="1:14" x14ac:dyDescent="0.35">
      <c r="A81" s="16"/>
      <c r="B81" s="16"/>
      <c r="C81" s="17">
        <v>44347.983113425929</v>
      </c>
      <c r="D81" s="16" t="s">
        <v>13</v>
      </c>
      <c r="E81" s="16"/>
      <c r="F81" s="16" t="s">
        <v>24</v>
      </c>
      <c r="G81" s="16" t="s">
        <v>12</v>
      </c>
      <c r="H81" s="18">
        <v>13.681322</v>
      </c>
      <c r="I81" s="19">
        <v>351.74</v>
      </c>
      <c r="J81" s="19">
        <v>4812.2682002800002</v>
      </c>
      <c r="K81" s="19">
        <v>0</v>
      </c>
      <c r="L81" s="16">
        <v>1</v>
      </c>
      <c r="M81" s="18">
        <v>13.705222227037501</v>
      </c>
      <c r="N81" s="18">
        <v>2.3900227037501054E-2</v>
      </c>
    </row>
    <row r="82" spans="1:14" ht="72.5" x14ac:dyDescent="0.35">
      <c r="A82" s="16"/>
      <c r="B82" s="16" t="s">
        <v>93</v>
      </c>
      <c r="C82" s="17">
        <v>44347.983113425929</v>
      </c>
      <c r="D82" s="16" t="s">
        <v>8</v>
      </c>
      <c r="E82" s="16"/>
      <c r="F82" s="16" t="s">
        <v>24</v>
      </c>
      <c r="G82" s="16" t="s">
        <v>25</v>
      </c>
      <c r="H82" s="18">
        <v>269.05864000000003</v>
      </c>
      <c r="I82" s="19">
        <v>17.809999999999999</v>
      </c>
      <c r="J82" s="19">
        <v>4791.9343784000002</v>
      </c>
      <c r="K82" s="19">
        <v>0</v>
      </c>
      <c r="L82" s="16">
        <v>1</v>
      </c>
      <c r="M82" s="18">
        <v>78.702500000000001</v>
      </c>
      <c r="N82" s="18">
        <v>347.76114000000001</v>
      </c>
    </row>
    <row r="83" spans="1:14" x14ac:dyDescent="0.35">
      <c r="A83" s="16"/>
      <c r="B83" s="16"/>
      <c r="C83" s="17">
        <v>44347.983113425929</v>
      </c>
      <c r="D83" s="16" t="s">
        <v>23</v>
      </c>
      <c r="E83" s="16" t="s">
        <v>94</v>
      </c>
      <c r="F83" s="16" t="s">
        <v>46</v>
      </c>
      <c r="G83" s="16" t="s">
        <v>12</v>
      </c>
      <c r="H83" s="18">
        <v>6.7179999999999996E-4</v>
      </c>
      <c r="I83" s="19">
        <v>350.1</v>
      </c>
      <c r="J83" s="19">
        <v>0.23519718000000001</v>
      </c>
      <c r="K83" s="19">
        <v>0</v>
      </c>
      <c r="L83" s="16">
        <v>1</v>
      </c>
      <c r="M83" s="18">
        <v>2.39002270375916E-2</v>
      </c>
      <c r="N83" s="18">
        <v>2.3228427037591599E-2</v>
      </c>
    </row>
    <row r="84" spans="1:14" x14ac:dyDescent="0.35">
      <c r="A84" s="16"/>
      <c r="B84" s="16"/>
      <c r="C84" s="17">
        <v>44347.985358796293</v>
      </c>
      <c r="D84" s="16" t="s">
        <v>66</v>
      </c>
      <c r="E84" s="16"/>
      <c r="F84" s="16" t="s">
        <v>36</v>
      </c>
      <c r="G84" s="16" t="s">
        <v>25</v>
      </c>
      <c r="H84" s="18">
        <v>0.62707999999999997</v>
      </c>
      <c r="I84" s="19">
        <v>17.7</v>
      </c>
      <c r="J84" s="19">
        <v>11.099315999999998</v>
      </c>
      <c r="K84" s="19">
        <v>0</v>
      </c>
      <c r="L84" s="16">
        <v>1</v>
      </c>
      <c r="M84" s="18">
        <v>347.76114000000001</v>
      </c>
      <c r="N84" s="18">
        <v>348.38821999999999</v>
      </c>
    </row>
    <row r="85" spans="1:14" x14ac:dyDescent="0.35">
      <c r="A85" s="16"/>
      <c r="B85" s="16"/>
      <c r="C85" s="17">
        <v>44347.987361111111</v>
      </c>
      <c r="D85" s="16" t="s">
        <v>23</v>
      </c>
      <c r="E85" s="16" t="s">
        <v>47</v>
      </c>
      <c r="F85" s="16" t="s">
        <v>36</v>
      </c>
      <c r="G85" s="16" t="s">
        <v>12</v>
      </c>
      <c r="H85" s="18">
        <v>1.2042999999999999E-3</v>
      </c>
      <c r="I85" s="19">
        <v>352.1</v>
      </c>
      <c r="J85" s="19">
        <v>0.42403403000000001</v>
      </c>
      <c r="K85" s="19">
        <v>0</v>
      </c>
      <c r="L85" s="16">
        <v>1</v>
      </c>
      <c r="M85" s="18">
        <v>2.3228407037591599E-2</v>
      </c>
      <c r="N85" s="18">
        <v>2.2024107037591601E-2</v>
      </c>
    </row>
    <row r="86" spans="1:14" x14ac:dyDescent="0.35">
      <c r="A86" s="16"/>
      <c r="B86" s="16"/>
      <c r="C86" s="17">
        <v>44348</v>
      </c>
      <c r="D86" s="16" t="s">
        <v>66</v>
      </c>
      <c r="E86" s="16"/>
      <c r="F86" s="16" t="s">
        <v>102</v>
      </c>
      <c r="G86" s="16" t="s">
        <v>25</v>
      </c>
      <c r="H86" s="18">
        <v>1.3204939999999965</v>
      </c>
      <c r="I86" s="19">
        <v>18.09</v>
      </c>
      <c r="J86" s="19">
        <v>23.887736459999935</v>
      </c>
      <c r="K86" s="19">
        <v>0</v>
      </c>
      <c r="L86" s="16">
        <v>1</v>
      </c>
      <c r="M86" s="18">
        <v>1.0579999999999999E-3</v>
      </c>
      <c r="N86" s="18">
        <v>1.3215519999999965</v>
      </c>
    </row>
    <row r="87" spans="1:14" x14ac:dyDescent="0.35">
      <c r="A87" s="16"/>
      <c r="B87" s="16"/>
      <c r="C87" s="17">
        <v>44349</v>
      </c>
      <c r="D87" s="16" t="s">
        <v>66</v>
      </c>
      <c r="E87" s="16"/>
      <c r="F87" s="16" t="s">
        <v>102</v>
      </c>
      <c r="G87" s="16" t="s">
        <v>25</v>
      </c>
      <c r="H87" s="18">
        <v>1.0760619000000133</v>
      </c>
      <c r="I87" s="19">
        <v>20.52</v>
      </c>
      <c r="J87" s="19">
        <v>22.080790188000272</v>
      </c>
      <c r="K87" s="19">
        <v>0</v>
      </c>
      <c r="L87" s="16">
        <v>1</v>
      </c>
      <c r="M87" s="18">
        <v>1.0579999999999999E-3</v>
      </c>
      <c r="N87" s="18">
        <v>1.0771199000000133</v>
      </c>
    </row>
    <row r="88" spans="1:14" x14ac:dyDescent="0.35">
      <c r="A88" s="16"/>
      <c r="B88" s="16"/>
      <c r="C88" s="17">
        <v>44350</v>
      </c>
      <c r="D88" s="16" t="s">
        <v>66</v>
      </c>
      <c r="E88" s="16"/>
      <c r="F88" s="16" t="s">
        <v>102</v>
      </c>
      <c r="G88" s="16" t="s">
        <v>25</v>
      </c>
      <c r="H88" s="18">
        <v>0.2426356999999939</v>
      </c>
      <c r="I88" s="19">
        <v>20</v>
      </c>
      <c r="J88" s="19">
        <v>4.8527139999998781</v>
      </c>
      <c r="K88" s="19">
        <v>0</v>
      </c>
      <c r="L88" s="16">
        <v>1</v>
      </c>
      <c r="M88" s="18">
        <v>1.0579999999999999E-3</v>
      </c>
      <c r="N88" s="18">
        <v>0.24369369999999391</v>
      </c>
    </row>
    <row r="89" spans="1:14" x14ac:dyDescent="0.35">
      <c r="A89" s="16"/>
      <c r="B89" s="16"/>
      <c r="C89" s="17">
        <v>44351</v>
      </c>
      <c r="D89" s="16" t="s">
        <v>66</v>
      </c>
      <c r="E89" s="16"/>
      <c r="F89" s="16" t="s">
        <v>102</v>
      </c>
      <c r="G89" s="16" t="s">
        <v>25</v>
      </c>
      <c r="H89" s="18">
        <v>0.49392380000000458</v>
      </c>
      <c r="I89" s="19">
        <v>19</v>
      </c>
      <c r="J89" s="19">
        <v>9.3845522000000869</v>
      </c>
      <c r="K89" s="19">
        <v>0</v>
      </c>
      <c r="L89" s="16">
        <v>1</v>
      </c>
      <c r="M89" s="18">
        <v>1.0579999999999999E-3</v>
      </c>
      <c r="N89" s="18">
        <v>0.49498180000000458</v>
      </c>
    </row>
    <row r="90" spans="1:14" x14ac:dyDescent="0.35">
      <c r="A90" s="16"/>
      <c r="B90" s="16"/>
      <c r="C90" s="17">
        <v>44352</v>
      </c>
      <c r="D90" s="16" t="s">
        <v>66</v>
      </c>
      <c r="E90" s="16"/>
      <c r="F90" s="16" t="s">
        <v>102</v>
      </c>
      <c r="G90" s="16" t="s">
        <v>25</v>
      </c>
      <c r="H90" s="18">
        <v>0.95322479999998677</v>
      </c>
      <c r="I90" s="19">
        <v>19.25</v>
      </c>
      <c r="J90" s="19">
        <v>18.349577399999745</v>
      </c>
      <c r="K90" s="19">
        <v>0</v>
      </c>
      <c r="L90" s="16">
        <v>1</v>
      </c>
      <c r="M90" s="18">
        <v>1.0579999999999999E-3</v>
      </c>
      <c r="N90" s="18">
        <v>0.95428279999998677</v>
      </c>
    </row>
    <row r="91" spans="1:14" x14ac:dyDescent="0.35">
      <c r="A91" s="16"/>
      <c r="B91" s="16"/>
      <c r="C91" s="17">
        <v>44353</v>
      </c>
      <c r="D91" s="16" t="s">
        <v>66</v>
      </c>
      <c r="E91" s="16"/>
      <c r="F91" s="16" t="s">
        <v>102</v>
      </c>
      <c r="G91" s="16" t="s">
        <v>25</v>
      </c>
      <c r="H91" s="18">
        <v>1.0958092999999849</v>
      </c>
      <c r="I91" s="19">
        <v>18.28</v>
      </c>
      <c r="J91" s="19">
        <v>20.031394003999726</v>
      </c>
      <c r="K91" s="19">
        <v>0</v>
      </c>
      <c r="L91" s="16">
        <v>1</v>
      </c>
      <c r="M91" s="18">
        <v>1.0579999999999999E-3</v>
      </c>
      <c r="N91" s="18">
        <v>1.0968672999999849</v>
      </c>
    </row>
    <row r="92" spans="1:14" x14ac:dyDescent="0.35">
      <c r="A92" s="16"/>
      <c r="B92" s="16"/>
      <c r="C92" s="17">
        <v>44354</v>
      </c>
      <c r="D92" s="16" t="s">
        <v>66</v>
      </c>
      <c r="E92" s="16"/>
      <c r="F92" s="16" t="s">
        <v>102</v>
      </c>
      <c r="G92" s="16" t="s">
        <v>25</v>
      </c>
      <c r="H92" s="18">
        <v>0.69968610000000808</v>
      </c>
      <c r="I92" s="19">
        <v>17.11</v>
      </c>
      <c r="J92" s="19">
        <v>11.971629171000139</v>
      </c>
      <c r="K92" s="19">
        <v>0</v>
      </c>
      <c r="L92" s="16">
        <v>1</v>
      </c>
      <c r="M92" s="18">
        <v>1.0579999999999999E-3</v>
      </c>
      <c r="N92" s="18">
        <v>0.70074410000000809</v>
      </c>
    </row>
    <row r="93" spans="1:14" x14ac:dyDescent="0.35">
      <c r="A93" s="16"/>
      <c r="B93" s="16"/>
      <c r="C93" s="17">
        <v>44355</v>
      </c>
      <c r="D93" s="16" t="s">
        <v>66</v>
      </c>
      <c r="E93" s="16"/>
      <c r="F93" s="16" t="s">
        <v>102</v>
      </c>
      <c r="G93" s="16" t="s">
        <v>25</v>
      </c>
      <c r="H93" s="18">
        <v>1.3967038000000116</v>
      </c>
      <c r="I93" s="19">
        <v>18.34</v>
      </c>
      <c r="J93" s="19">
        <v>25.615547692000213</v>
      </c>
      <c r="K93" s="19">
        <v>0</v>
      </c>
      <c r="L93" s="16">
        <v>1</v>
      </c>
      <c r="M93" s="18">
        <v>1.0579999999999999E-3</v>
      </c>
      <c r="N93" s="18">
        <v>1.3977618000000116</v>
      </c>
    </row>
    <row r="94" spans="1:14" x14ac:dyDescent="0.35">
      <c r="A94" s="16"/>
      <c r="B94" s="16"/>
      <c r="C94" s="17">
        <v>44356</v>
      </c>
      <c r="D94" s="16" t="s">
        <v>66</v>
      </c>
      <c r="E94" s="16"/>
      <c r="F94" s="16" t="s">
        <v>102</v>
      </c>
      <c r="G94" s="16" t="s">
        <v>25</v>
      </c>
      <c r="H94" s="18">
        <v>1.0386560000000031</v>
      </c>
      <c r="I94" s="19">
        <v>18.3</v>
      </c>
      <c r="J94" s="19">
        <v>19.007404800000057</v>
      </c>
      <c r="K94" s="19">
        <v>0</v>
      </c>
      <c r="L94" s="16">
        <v>1</v>
      </c>
      <c r="M94" s="18">
        <v>1.0579999999999999E-3</v>
      </c>
      <c r="N94" s="18">
        <v>1.0397140000000031</v>
      </c>
    </row>
    <row r="95" spans="1:14" x14ac:dyDescent="0.35">
      <c r="A95" s="16"/>
      <c r="B95" s="16"/>
      <c r="C95" s="17">
        <v>44357</v>
      </c>
      <c r="D95" s="16" t="s">
        <v>66</v>
      </c>
      <c r="E95" s="16"/>
      <c r="F95" s="16" t="s">
        <v>102</v>
      </c>
      <c r="G95" s="16" t="s">
        <v>25</v>
      </c>
      <c r="H95" s="18">
        <v>0.43320510000000922</v>
      </c>
      <c r="I95" s="19">
        <v>16.190000000000001</v>
      </c>
      <c r="J95" s="19">
        <v>7.0135905690001499</v>
      </c>
      <c r="K95" s="19">
        <v>0</v>
      </c>
      <c r="L95" s="16">
        <v>1</v>
      </c>
      <c r="M95" s="18">
        <v>1.0579999999999999E-3</v>
      </c>
      <c r="N95" s="18">
        <v>0.43426310000000923</v>
      </c>
    </row>
    <row r="96" spans="1:14" x14ac:dyDescent="0.35">
      <c r="A96" s="16"/>
      <c r="B96" s="16"/>
      <c r="C96" s="17">
        <v>44358</v>
      </c>
      <c r="D96" s="16" t="s">
        <v>66</v>
      </c>
      <c r="E96" s="16"/>
      <c r="F96" s="16" t="s">
        <v>102</v>
      </c>
      <c r="G96" s="16" t="s">
        <v>25</v>
      </c>
      <c r="H96" s="18">
        <v>0.25164439999997512</v>
      </c>
      <c r="I96" s="19">
        <v>16.93</v>
      </c>
      <c r="J96" s="19">
        <v>4.2603396919995786</v>
      </c>
      <c r="K96" s="19">
        <v>0</v>
      </c>
      <c r="L96" s="16">
        <v>1</v>
      </c>
      <c r="M96" s="18">
        <v>1.0579999999999999E-3</v>
      </c>
      <c r="N96" s="18">
        <v>0.25270239999997512</v>
      </c>
    </row>
    <row r="97" spans="1:14" x14ac:dyDescent="0.35">
      <c r="A97" s="16"/>
      <c r="B97" s="16"/>
      <c r="C97" s="17">
        <v>44359</v>
      </c>
      <c r="D97" s="16" t="s">
        <v>66</v>
      </c>
      <c r="E97" s="16"/>
      <c r="F97" s="16" t="s">
        <v>102</v>
      </c>
      <c r="G97" s="16" t="s">
        <v>25</v>
      </c>
      <c r="H97" s="18">
        <v>1.4615779000000089</v>
      </c>
      <c r="I97" s="19">
        <v>16.97</v>
      </c>
      <c r="J97" s="19">
        <v>24.802976963000148</v>
      </c>
      <c r="K97" s="19">
        <v>0</v>
      </c>
      <c r="L97" s="16">
        <v>1</v>
      </c>
      <c r="M97" s="18">
        <v>1.0579999999999999E-3</v>
      </c>
      <c r="N97" s="18">
        <v>1.4626359000000089</v>
      </c>
    </row>
    <row r="98" spans="1:14" x14ac:dyDescent="0.35">
      <c r="A98" s="16"/>
      <c r="B98" s="16"/>
      <c r="C98" s="17">
        <v>44360</v>
      </c>
      <c r="D98" s="16" t="s">
        <v>66</v>
      </c>
      <c r="E98" s="16"/>
      <c r="F98" s="16" t="s">
        <v>102</v>
      </c>
      <c r="G98" s="16" t="s">
        <v>25</v>
      </c>
      <c r="H98" s="18">
        <v>0.95699239999999008</v>
      </c>
      <c r="I98" s="19">
        <v>17.5</v>
      </c>
      <c r="J98" s="19">
        <v>16.747366999999826</v>
      </c>
      <c r="K98" s="19">
        <v>0</v>
      </c>
      <c r="L98" s="16">
        <v>1</v>
      </c>
      <c r="M98" s="18">
        <v>1.0579999999999999E-3</v>
      </c>
      <c r="N98" s="18">
        <v>0.95805039999999009</v>
      </c>
    </row>
    <row r="99" spans="1:14" x14ac:dyDescent="0.35">
      <c r="A99" s="16"/>
      <c r="B99" s="16"/>
      <c r="C99" s="17">
        <v>44361</v>
      </c>
      <c r="D99" s="16" t="s">
        <v>66</v>
      </c>
      <c r="E99" s="16"/>
      <c r="F99" s="16" t="s">
        <v>102</v>
      </c>
      <c r="G99" s="16" t="s">
        <v>25</v>
      </c>
      <c r="H99" s="18">
        <v>0.99890229999999747</v>
      </c>
      <c r="I99" s="19">
        <v>18.02</v>
      </c>
      <c r="J99" s="19">
        <v>18.000219445999953</v>
      </c>
      <c r="K99" s="19">
        <v>0</v>
      </c>
      <c r="L99" s="16">
        <v>1</v>
      </c>
      <c r="M99" s="18">
        <v>1.0579999999999999E-3</v>
      </c>
      <c r="N99" s="18">
        <v>0.99996029999999747</v>
      </c>
    </row>
    <row r="100" spans="1:14" x14ac:dyDescent="0.35">
      <c r="A100" s="16"/>
      <c r="B100" s="16"/>
      <c r="C100" s="17">
        <v>44362</v>
      </c>
      <c r="D100" s="16" t="s">
        <v>66</v>
      </c>
      <c r="E100" s="16"/>
      <c r="F100" s="16" t="s">
        <v>102</v>
      </c>
      <c r="G100" s="16" t="s">
        <v>25</v>
      </c>
      <c r="H100" s="18">
        <v>0.81731830000001082</v>
      </c>
      <c r="I100" s="19">
        <v>17.899999999999999</v>
      </c>
      <c r="J100" s="19">
        <v>14.629997570000192</v>
      </c>
      <c r="K100" s="19">
        <v>0</v>
      </c>
      <c r="L100" s="16">
        <v>1</v>
      </c>
      <c r="M100" s="18">
        <v>1.0579999999999999E-3</v>
      </c>
      <c r="N100" s="18">
        <v>0.81837630000001083</v>
      </c>
    </row>
    <row r="101" spans="1:14" x14ac:dyDescent="0.35">
      <c r="A101" s="16"/>
      <c r="B101" s="16"/>
      <c r="C101" s="17">
        <v>44363</v>
      </c>
      <c r="D101" s="16" t="s">
        <v>66</v>
      </c>
      <c r="E101" s="16"/>
      <c r="F101" s="16" t="s">
        <v>102</v>
      </c>
      <c r="G101" s="16" t="s">
        <v>25</v>
      </c>
      <c r="H101" s="18">
        <v>1.0864373000000001</v>
      </c>
      <c r="I101" s="19">
        <v>16.75</v>
      </c>
      <c r="J101" s="19">
        <v>18.197824775000001</v>
      </c>
      <c r="K101" s="19">
        <v>0</v>
      </c>
      <c r="L101" s="16">
        <v>1</v>
      </c>
      <c r="M101" s="18">
        <v>1.0579999999999999E-3</v>
      </c>
      <c r="N101" s="18">
        <v>1.0874953000000001</v>
      </c>
    </row>
    <row r="102" spans="1:14" x14ac:dyDescent="0.35">
      <c r="A102" s="16"/>
      <c r="B102" s="16"/>
      <c r="C102" s="17">
        <v>44364</v>
      </c>
      <c r="D102" s="16" t="s">
        <v>66</v>
      </c>
      <c r="E102" s="16"/>
      <c r="F102" s="16" t="s">
        <v>102</v>
      </c>
      <c r="G102" s="16" t="s">
        <v>25</v>
      </c>
      <c r="H102" s="18">
        <v>1.2019941000000358</v>
      </c>
      <c r="I102" s="19">
        <v>16</v>
      </c>
      <c r="J102" s="19">
        <v>19.231905600000573</v>
      </c>
      <c r="K102" s="19">
        <v>0</v>
      </c>
      <c r="L102" s="16">
        <v>1</v>
      </c>
      <c r="M102" s="18">
        <v>1.0579999999999999E-3</v>
      </c>
      <c r="N102" s="18">
        <v>1.2030521000000358</v>
      </c>
    </row>
    <row r="103" spans="1:14" x14ac:dyDescent="0.35">
      <c r="A103" s="16"/>
      <c r="B103" s="16"/>
      <c r="C103" s="17">
        <v>44364.502083333333</v>
      </c>
      <c r="D103" s="16" t="s">
        <v>13</v>
      </c>
      <c r="E103" s="16"/>
      <c r="F103" s="16" t="s">
        <v>19</v>
      </c>
      <c r="G103" s="16" t="s">
        <v>20</v>
      </c>
      <c r="H103" s="18">
        <v>735.03892900000005</v>
      </c>
      <c r="I103" s="19">
        <v>0.55000000000000004</v>
      </c>
      <c r="J103" s="19">
        <v>398.21141095000007</v>
      </c>
      <c r="K103" s="19">
        <v>6.06</v>
      </c>
      <c r="L103" s="16">
        <v>1</v>
      </c>
      <c r="M103" s="18">
        <v>735.03892900000005</v>
      </c>
      <c r="N103" s="18">
        <v>0</v>
      </c>
    </row>
    <row r="104" spans="1:14" x14ac:dyDescent="0.35">
      <c r="A104" s="16"/>
      <c r="B104" s="16"/>
      <c r="C104" s="17">
        <v>44365</v>
      </c>
      <c r="D104" s="16" t="s">
        <v>66</v>
      </c>
      <c r="E104" s="16"/>
      <c r="F104" s="16" t="s">
        <v>102</v>
      </c>
      <c r="G104" s="16" t="s">
        <v>25</v>
      </c>
      <c r="H104" s="18">
        <v>0.46197119999999359</v>
      </c>
      <c r="I104" s="19">
        <v>16.02</v>
      </c>
      <c r="J104" s="19">
        <v>7.4007786239998969</v>
      </c>
      <c r="K104" s="19">
        <v>0</v>
      </c>
      <c r="L104" s="16">
        <v>1</v>
      </c>
      <c r="M104" s="18">
        <v>1.0579999999999999E-3</v>
      </c>
      <c r="N104" s="18">
        <v>0.46302919999999359</v>
      </c>
    </row>
    <row r="105" spans="1:14" x14ac:dyDescent="0.35">
      <c r="A105" s="16"/>
      <c r="B105" s="16"/>
      <c r="C105" s="17">
        <v>44366</v>
      </c>
      <c r="D105" s="16" t="s">
        <v>66</v>
      </c>
      <c r="E105" s="16"/>
      <c r="F105" s="16" t="s">
        <v>102</v>
      </c>
      <c r="G105" s="16" t="s">
        <v>25</v>
      </c>
      <c r="H105" s="18">
        <v>1.0453319000000079</v>
      </c>
      <c r="I105" s="19">
        <v>16.48</v>
      </c>
      <c r="J105" s="19">
        <v>17.22706971200013</v>
      </c>
      <c r="K105" s="19">
        <v>0</v>
      </c>
      <c r="L105" s="16">
        <v>1</v>
      </c>
      <c r="M105" s="18">
        <v>1.0579999999999999E-3</v>
      </c>
      <c r="N105" s="18">
        <v>1.0463899000000079</v>
      </c>
    </row>
    <row r="106" spans="1:14" x14ac:dyDescent="0.35">
      <c r="A106" s="16"/>
      <c r="B106" s="16"/>
      <c r="C106" s="17">
        <v>44367</v>
      </c>
      <c r="D106" s="16" t="s">
        <v>66</v>
      </c>
      <c r="E106" s="16"/>
      <c r="F106" s="16" t="s">
        <v>102</v>
      </c>
      <c r="G106" s="16" t="s">
        <v>25</v>
      </c>
      <c r="H106" s="18">
        <v>1.0501239999999825</v>
      </c>
      <c r="I106" s="19">
        <v>14.33</v>
      </c>
      <c r="J106" s="19">
        <v>15.048276919999749</v>
      </c>
      <c r="K106" s="19">
        <v>0</v>
      </c>
      <c r="L106" s="16">
        <v>1</v>
      </c>
      <c r="M106" s="18">
        <v>1.0579999999999999E-3</v>
      </c>
      <c r="N106" s="18">
        <v>1.0511819999999825</v>
      </c>
    </row>
    <row r="107" spans="1:14" x14ac:dyDescent="0.35">
      <c r="A107" s="16"/>
      <c r="B107" s="16"/>
      <c r="C107" s="17">
        <v>44368</v>
      </c>
      <c r="D107" s="16" t="s">
        <v>66</v>
      </c>
      <c r="E107" s="16"/>
      <c r="F107" s="16" t="s">
        <v>102</v>
      </c>
      <c r="G107" s="16" t="s">
        <v>25</v>
      </c>
      <c r="H107" s="18">
        <v>0.8001269000000093</v>
      </c>
      <c r="I107" s="19">
        <v>12.62</v>
      </c>
      <c r="J107" s="19">
        <v>10.097601478000117</v>
      </c>
      <c r="K107" s="19">
        <v>0</v>
      </c>
      <c r="L107" s="16">
        <v>1</v>
      </c>
      <c r="M107" s="18">
        <v>1.0579999999999999E-3</v>
      </c>
      <c r="N107" s="18">
        <v>0.8011849000000093</v>
      </c>
    </row>
    <row r="108" spans="1:14" x14ac:dyDescent="0.35">
      <c r="A108" s="16"/>
      <c r="B108" s="16"/>
      <c r="C108" s="17">
        <v>44369</v>
      </c>
      <c r="D108" s="16" t="s">
        <v>66</v>
      </c>
      <c r="E108" s="16"/>
      <c r="F108" s="16" t="s">
        <v>102</v>
      </c>
      <c r="G108" s="16" t="s">
        <v>25</v>
      </c>
      <c r="H108" s="18">
        <v>1.3241325999999844</v>
      </c>
      <c r="I108" s="19">
        <v>13.22</v>
      </c>
      <c r="J108" s="19">
        <v>17.505032971999796</v>
      </c>
      <c r="K108" s="19">
        <v>0</v>
      </c>
      <c r="L108" s="16">
        <v>1</v>
      </c>
      <c r="M108" s="18">
        <v>1.0579999999999999E-3</v>
      </c>
      <c r="N108" s="18">
        <v>1.3251905999999845</v>
      </c>
    </row>
    <row r="109" spans="1:14" x14ac:dyDescent="0.35">
      <c r="A109" s="16"/>
      <c r="B109" s="16"/>
      <c r="C109" s="17">
        <v>44370</v>
      </c>
      <c r="D109" s="16" t="s">
        <v>66</v>
      </c>
      <c r="E109" s="16"/>
      <c r="F109" s="16" t="s">
        <v>102</v>
      </c>
      <c r="G109" s="16" t="s">
        <v>25</v>
      </c>
      <c r="H109" s="18">
        <v>0.64330990000001975</v>
      </c>
      <c r="I109" s="19">
        <v>14.55</v>
      </c>
      <c r="J109" s="19">
        <v>9.3601590450002874</v>
      </c>
      <c r="K109" s="19">
        <v>0</v>
      </c>
      <c r="L109" s="16">
        <v>1</v>
      </c>
      <c r="M109" s="18">
        <v>1.0579999999999999E-3</v>
      </c>
      <c r="N109" s="18">
        <v>0.64436790000001976</v>
      </c>
    </row>
    <row r="110" spans="1:14" x14ac:dyDescent="0.35">
      <c r="A110" s="16"/>
      <c r="B110" s="16"/>
      <c r="C110" s="17">
        <v>44371</v>
      </c>
      <c r="D110" s="16" t="s">
        <v>66</v>
      </c>
      <c r="E110" s="16"/>
      <c r="F110" s="16" t="s">
        <v>102</v>
      </c>
      <c r="G110" s="16" t="s">
        <v>25</v>
      </c>
      <c r="H110" s="18">
        <v>0.29238719999995055</v>
      </c>
      <c r="I110" s="19">
        <v>13.84</v>
      </c>
      <c r="J110" s="19">
        <v>4.0466388479993158</v>
      </c>
      <c r="K110" s="19">
        <v>0</v>
      </c>
      <c r="L110" s="16">
        <v>1</v>
      </c>
      <c r="M110" s="18">
        <v>1.0579999999999999E-3</v>
      </c>
      <c r="N110" s="18">
        <v>0.29344519999995056</v>
      </c>
    </row>
    <row r="111" spans="1:14" x14ac:dyDescent="0.35">
      <c r="A111" s="16"/>
      <c r="B111" s="16"/>
      <c r="C111" s="17">
        <v>44372</v>
      </c>
      <c r="D111" s="16" t="s">
        <v>66</v>
      </c>
      <c r="E111" s="16"/>
      <c r="F111" s="16" t="s">
        <v>102</v>
      </c>
      <c r="G111" s="16" t="s">
        <v>25</v>
      </c>
      <c r="H111" s="18">
        <v>1.3910337000000368</v>
      </c>
      <c r="I111" s="19">
        <v>12.36</v>
      </c>
      <c r="J111" s="19">
        <v>17.193176532000454</v>
      </c>
      <c r="K111" s="19">
        <v>0</v>
      </c>
      <c r="L111" s="16">
        <v>1</v>
      </c>
      <c r="M111" s="18">
        <v>1.0579999999999999E-3</v>
      </c>
      <c r="N111" s="18">
        <v>1.3920917000000368</v>
      </c>
    </row>
    <row r="112" spans="1:14" x14ac:dyDescent="0.35">
      <c r="A112" s="16"/>
      <c r="B112" s="16"/>
      <c r="C112" s="17">
        <v>44373</v>
      </c>
      <c r="D112" s="16" t="s">
        <v>66</v>
      </c>
      <c r="E112" s="16"/>
      <c r="F112" s="16" t="s">
        <v>102</v>
      </c>
      <c r="G112" s="16" t="s">
        <v>25</v>
      </c>
      <c r="H112" s="18">
        <v>0.87571059999999079</v>
      </c>
      <c r="I112" s="19">
        <v>13.79</v>
      </c>
      <c r="J112" s="19">
        <v>12.076049173999872</v>
      </c>
      <c r="K112" s="19">
        <v>0</v>
      </c>
      <c r="L112" s="16">
        <v>1</v>
      </c>
      <c r="M112" s="18">
        <v>1.0579999999999999E-3</v>
      </c>
      <c r="N112" s="18">
        <v>0.87676859999999079</v>
      </c>
    </row>
    <row r="113" spans="1:14" x14ac:dyDescent="0.35">
      <c r="A113" s="16"/>
      <c r="B113" s="16"/>
      <c r="C113" s="17">
        <v>44374</v>
      </c>
      <c r="D113" s="16" t="s">
        <v>66</v>
      </c>
      <c r="E113" s="16"/>
      <c r="F113" s="16" t="s">
        <v>102</v>
      </c>
      <c r="G113" s="16" t="s">
        <v>25</v>
      </c>
      <c r="H113" s="18">
        <v>0.49485329999998839</v>
      </c>
      <c r="I113" s="19">
        <v>13.91</v>
      </c>
      <c r="J113" s="19">
        <v>6.8834094029998383</v>
      </c>
      <c r="K113" s="19">
        <v>0</v>
      </c>
      <c r="L113" s="16">
        <v>1</v>
      </c>
      <c r="M113" s="18">
        <v>1.0579999999999999E-3</v>
      </c>
      <c r="N113" s="18">
        <v>0.4959112999999884</v>
      </c>
    </row>
    <row r="114" spans="1:14" x14ac:dyDescent="0.35">
      <c r="A114" s="16"/>
      <c r="B114" s="16"/>
      <c r="C114" s="17">
        <v>44375</v>
      </c>
      <c r="D114" s="16" t="s">
        <v>66</v>
      </c>
      <c r="E114" s="16"/>
      <c r="F114" s="16" t="s">
        <v>102</v>
      </c>
      <c r="G114" s="16" t="s">
        <v>25</v>
      </c>
      <c r="H114" s="18">
        <v>1.1499001999999905</v>
      </c>
      <c r="I114" s="19">
        <v>14.48</v>
      </c>
      <c r="J114" s="19">
        <v>16.650554895999864</v>
      </c>
      <c r="K114" s="19">
        <v>0</v>
      </c>
      <c r="L114" s="16">
        <v>1</v>
      </c>
      <c r="M114" s="18">
        <v>1.0579999999999999E-3</v>
      </c>
      <c r="N114" s="18">
        <v>1.1509581999999905</v>
      </c>
    </row>
    <row r="115" spans="1:14" x14ac:dyDescent="0.35">
      <c r="A115" s="16"/>
      <c r="B115" s="16"/>
      <c r="C115" s="17">
        <v>44376</v>
      </c>
      <c r="D115" s="16" t="s">
        <v>66</v>
      </c>
      <c r="E115" s="16"/>
      <c r="F115" s="16" t="s">
        <v>102</v>
      </c>
      <c r="G115" s="16" t="s">
        <v>25</v>
      </c>
      <c r="H115" s="18">
        <v>0.71408010000004651</v>
      </c>
      <c r="I115" s="19">
        <v>14.17</v>
      </c>
      <c r="J115" s="19">
        <v>10.118515017000659</v>
      </c>
      <c r="K115" s="19">
        <v>0</v>
      </c>
      <c r="L115" s="16">
        <v>1</v>
      </c>
      <c r="M115" s="18">
        <v>1.0579999999999999E-3</v>
      </c>
      <c r="N115" s="18">
        <v>0.71513810000004652</v>
      </c>
    </row>
    <row r="116" spans="1:14" x14ac:dyDescent="0.35">
      <c r="A116" s="16"/>
      <c r="B116" s="16"/>
      <c r="C116" s="17">
        <v>44376.565972222219</v>
      </c>
      <c r="D116" s="16" t="s">
        <v>13</v>
      </c>
      <c r="E116" s="16"/>
      <c r="F116" s="16" t="s">
        <v>11</v>
      </c>
      <c r="G116" s="16" t="s">
        <v>21</v>
      </c>
      <c r="H116" s="18">
        <v>4491</v>
      </c>
      <c r="I116" s="19">
        <v>0.08</v>
      </c>
      <c r="J116" s="19">
        <v>359.28000000000003</v>
      </c>
      <c r="K116" s="19">
        <v>0</v>
      </c>
      <c r="L116" s="16">
        <v>1</v>
      </c>
      <c r="M116" s="18">
        <v>4491</v>
      </c>
      <c r="N116" s="18">
        <v>0</v>
      </c>
    </row>
    <row r="117" spans="1:14" x14ac:dyDescent="0.35">
      <c r="A117" s="16"/>
      <c r="B117" s="16"/>
      <c r="C117" s="17">
        <v>44376.565972222219</v>
      </c>
      <c r="D117" s="16" t="s">
        <v>23</v>
      </c>
      <c r="E117" s="16" t="s">
        <v>95</v>
      </c>
      <c r="F117" s="16" t="s">
        <v>11</v>
      </c>
      <c r="G117" s="16" t="s">
        <v>12</v>
      </c>
      <c r="H117" s="18">
        <v>9.0959999999999999E-4</v>
      </c>
      <c r="I117" s="19">
        <v>294.86</v>
      </c>
      <c r="J117" s="19">
        <v>0.26820465599999999</v>
      </c>
      <c r="K117" s="19">
        <v>0</v>
      </c>
      <c r="L117" s="16">
        <v>1</v>
      </c>
      <c r="M117" s="18">
        <v>2.20240820375916E-2</v>
      </c>
      <c r="N117" s="18">
        <v>2.11144820375916E-2</v>
      </c>
    </row>
    <row r="118" spans="1:14" x14ac:dyDescent="0.35">
      <c r="A118" s="16"/>
      <c r="B118" s="16"/>
      <c r="C118" s="17">
        <v>44376.565972222219</v>
      </c>
      <c r="D118" s="16" t="s">
        <v>13</v>
      </c>
      <c r="E118" s="16"/>
      <c r="F118" s="16" t="s">
        <v>11</v>
      </c>
      <c r="G118" s="16" t="s">
        <v>14</v>
      </c>
      <c r="H118" s="18">
        <v>51.59</v>
      </c>
      <c r="I118" s="19">
        <v>12.06</v>
      </c>
      <c r="J118" s="19">
        <v>622.17540000000008</v>
      </c>
      <c r="K118" s="19">
        <v>0</v>
      </c>
      <c r="L118" s="16">
        <v>1</v>
      </c>
      <c r="M118" s="18">
        <v>52.64</v>
      </c>
      <c r="N118" s="18">
        <v>1.0499999999999972</v>
      </c>
    </row>
    <row r="119" spans="1:14" x14ac:dyDescent="0.35">
      <c r="A119" s="16"/>
      <c r="B119" s="16"/>
      <c r="C119" s="17">
        <v>44376.565972222219</v>
      </c>
      <c r="D119" s="16" t="s">
        <v>23</v>
      </c>
      <c r="E119" s="16" t="s">
        <v>96</v>
      </c>
      <c r="F119" s="16" t="s">
        <v>11</v>
      </c>
      <c r="G119" s="16" t="s">
        <v>12</v>
      </c>
      <c r="H119" s="18">
        <v>2.027E-2</v>
      </c>
      <c r="I119" s="19">
        <v>294.86</v>
      </c>
      <c r="J119" s="19">
        <v>5.9768122000000004</v>
      </c>
      <c r="K119" s="19">
        <v>0</v>
      </c>
      <c r="L119" s="16">
        <v>1</v>
      </c>
      <c r="M119" s="18">
        <v>2.1114452037591599E-2</v>
      </c>
      <c r="N119" s="18">
        <v>8.4445203759159898E-4</v>
      </c>
    </row>
    <row r="120" spans="1:14" x14ac:dyDescent="0.35">
      <c r="A120" s="16"/>
      <c r="B120" s="16"/>
      <c r="C120" s="17">
        <v>44377</v>
      </c>
      <c r="D120" s="16" t="s">
        <v>66</v>
      </c>
      <c r="E120" s="16"/>
      <c r="F120" s="16" t="s">
        <v>102</v>
      </c>
      <c r="G120" s="16" t="s">
        <v>25</v>
      </c>
      <c r="H120" s="18">
        <v>0.34019339999997555</v>
      </c>
      <c r="I120" s="19">
        <v>13.19</v>
      </c>
      <c r="J120" s="19">
        <v>4.4871509459996775</v>
      </c>
      <c r="K120" s="19">
        <v>0</v>
      </c>
      <c r="L120" s="16">
        <v>1</v>
      </c>
      <c r="M120" s="18">
        <v>1.0579999999999999E-3</v>
      </c>
      <c r="N120" s="18">
        <v>0.34125139999997556</v>
      </c>
    </row>
    <row r="121" spans="1:14" x14ac:dyDescent="0.35">
      <c r="A121" s="16"/>
      <c r="B121" s="16"/>
      <c r="C121" s="17">
        <v>44378</v>
      </c>
      <c r="D121" s="16" t="s">
        <v>66</v>
      </c>
      <c r="E121" s="16"/>
      <c r="F121" s="16" t="s">
        <v>102</v>
      </c>
      <c r="G121" s="16" t="s">
        <v>25</v>
      </c>
      <c r="H121" s="18">
        <v>1.4122014999999806</v>
      </c>
      <c r="I121" s="19">
        <v>13.21</v>
      </c>
      <c r="J121" s="19">
        <v>18.655181814999743</v>
      </c>
      <c r="K121" s="19">
        <v>0</v>
      </c>
      <c r="L121" s="16">
        <v>1</v>
      </c>
      <c r="M121" s="18">
        <v>1.0579999999999999E-3</v>
      </c>
      <c r="N121" s="18">
        <v>1.4132594999999806</v>
      </c>
    </row>
    <row r="122" spans="1:14" x14ac:dyDescent="0.35">
      <c r="A122" s="16"/>
      <c r="B122" s="16"/>
      <c r="C122" s="17">
        <v>44379</v>
      </c>
      <c r="D122" s="16" t="s">
        <v>66</v>
      </c>
      <c r="E122" s="16"/>
      <c r="F122" s="16" t="s">
        <v>102</v>
      </c>
      <c r="G122" s="16" t="s">
        <v>25</v>
      </c>
      <c r="H122" s="18">
        <v>0.70288080000000264</v>
      </c>
      <c r="I122" s="19">
        <v>13.88</v>
      </c>
      <c r="J122" s="19">
        <v>9.7559855040000372</v>
      </c>
      <c r="K122" s="19">
        <v>0</v>
      </c>
      <c r="L122" s="16">
        <v>1</v>
      </c>
      <c r="M122" s="18">
        <v>1.0579999999999999E-3</v>
      </c>
      <c r="N122" s="18">
        <v>0.70393880000000264</v>
      </c>
    </row>
    <row r="123" spans="1:14" x14ac:dyDescent="0.35">
      <c r="A123" s="16"/>
      <c r="B123" s="16"/>
      <c r="C123" s="17">
        <v>44380</v>
      </c>
      <c r="D123" s="16" t="s">
        <v>66</v>
      </c>
      <c r="E123" s="16"/>
      <c r="F123" s="16" t="s">
        <v>102</v>
      </c>
      <c r="G123" s="16" t="s">
        <v>25</v>
      </c>
      <c r="H123" s="18">
        <v>0.85278170000003684</v>
      </c>
      <c r="I123" s="19">
        <v>14.85</v>
      </c>
      <c r="J123" s="19">
        <v>12.663808245000547</v>
      </c>
      <c r="K123" s="19">
        <v>0</v>
      </c>
      <c r="L123" s="16">
        <v>1</v>
      </c>
      <c r="M123" s="18">
        <v>1.0579999999999999E-3</v>
      </c>
      <c r="N123" s="18">
        <v>0.85383970000003684</v>
      </c>
    </row>
    <row r="124" spans="1:14" x14ac:dyDescent="0.35">
      <c r="A124" s="16"/>
      <c r="B124" s="16"/>
      <c r="C124" s="17">
        <v>44381</v>
      </c>
      <c r="D124" s="16" t="s">
        <v>66</v>
      </c>
      <c r="E124" s="16"/>
      <c r="F124" s="16" t="s">
        <v>102</v>
      </c>
      <c r="G124" s="16" t="s">
        <v>25</v>
      </c>
      <c r="H124" s="18">
        <v>0.77209649999997509</v>
      </c>
      <c r="I124" s="19">
        <v>14.67</v>
      </c>
      <c r="J124" s="19">
        <v>11.326655654999634</v>
      </c>
      <c r="K124" s="19">
        <v>0</v>
      </c>
      <c r="L124" s="16">
        <v>1</v>
      </c>
      <c r="M124" s="18">
        <v>1.0579999999999999E-3</v>
      </c>
      <c r="N124" s="18">
        <v>0.7731544999999751</v>
      </c>
    </row>
    <row r="125" spans="1:14" x14ac:dyDescent="0.35">
      <c r="A125" s="16"/>
      <c r="B125" s="16"/>
      <c r="C125" s="17">
        <v>44382</v>
      </c>
      <c r="D125" s="16" t="s">
        <v>66</v>
      </c>
      <c r="E125" s="16"/>
      <c r="F125" s="16" t="s">
        <v>102</v>
      </c>
      <c r="G125" s="16" t="s">
        <v>25</v>
      </c>
      <c r="H125" s="18">
        <v>0.44279690000001892</v>
      </c>
      <c r="I125" s="19">
        <v>15.46</v>
      </c>
      <c r="J125" s="19">
        <v>6.8456400740002925</v>
      </c>
      <c r="K125" s="19">
        <v>0</v>
      </c>
      <c r="L125" s="16">
        <v>1</v>
      </c>
      <c r="M125" s="18">
        <v>1.0579999999999999E-3</v>
      </c>
      <c r="N125" s="18">
        <v>0.44385490000001893</v>
      </c>
    </row>
    <row r="126" spans="1:14" x14ac:dyDescent="0.35">
      <c r="A126" s="16"/>
      <c r="B126" s="16"/>
      <c r="C126" s="17">
        <v>44383</v>
      </c>
      <c r="D126" s="16" t="s">
        <v>66</v>
      </c>
      <c r="E126" s="16"/>
      <c r="F126" s="16" t="s">
        <v>102</v>
      </c>
      <c r="G126" s="16" t="s">
        <v>25</v>
      </c>
      <c r="H126" s="18">
        <v>1.2696697999999742</v>
      </c>
      <c r="I126" s="19">
        <v>15.55</v>
      </c>
      <c r="J126" s="19">
        <v>19.7433653899996</v>
      </c>
      <c r="K126" s="19">
        <v>0</v>
      </c>
      <c r="L126" s="16">
        <v>1</v>
      </c>
      <c r="M126" s="18">
        <v>1.0579999999999999E-3</v>
      </c>
      <c r="N126" s="18">
        <v>1.2707277999999742</v>
      </c>
    </row>
    <row r="127" spans="1:14" x14ac:dyDescent="0.35">
      <c r="A127" s="16"/>
      <c r="B127" s="16"/>
      <c r="C127" s="17">
        <v>44384</v>
      </c>
      <c r="D127" s="16" t="s">
        <v>66</v>
      </c>
      <c r="E127" s="16"/>
      <c r="F127" s="16" t="s">
        <v>102</v>
      </c>
      <c r="G127" s="16" t="s">
        <v>25</v>
      </c>
      <c r="H127" s="18">
        <v>0.78423100000003387</v>
      </c>
      <c r="I127" s="19">
        <v>15.45</v>
      </c>
      <c r="J127" s="19">
        <v>12.116368950000522</v>
      </c>
      <c r="K127" s="19">
        <v>0</v>
      </c>
      <c r="L127" s="16">
        <v>1</v>
      </c>
      <c r="M127" s="18">
        <v>1.0579999999999999E-3</v>
      </c>
      <c r="N127" s="18">
        <v>0.78528900000003388</v>
      </c>
    </row>
    <row r="128" spans="1:14" x14ac:dyDescent="0.35">
      <c r="A128" s="16"/>
      <c r="B128" s="16"/>
      <c r="C128" s="17">
        <v>44385</v>
      </c>
      <c r="D128" s="16" t="s">
        <v>66</v>
      </c>
      <c r="E128" s="16"/>
      <c r="F128" s="16" t="s">
        <v>102</v>
      </c>
      <c r="G128" s="16" t="s">
        <v>25</v>
      </c>
      <c r="H128" s="18">
        <v>0.78064019999999346</v>
      </c>
      <c r="I128" s="19">
        <v>14.26</v>
      </c>
      <c r="J128" s="19">
        <v>11.131929251999907</v>
      </c>
      <c r="K128" s="19">
        <v>0</v>
      </c>
      <c r="L128" s="16">
        <v>1</v>
      </c>
      <c r="M128" s="18">
        <v>1.0579999999999999E-3</v>
      </c>
      <c r="N128" s="18">
        <v>0.78169819999999346</v>
      </c>
    </row>
    <row r="129" spans="1:14" x14ac:dyDescent="0.35">
      <c r="A129" s="16"/>
      <c r="B129" s="16"/>
      <c r="C129" s="17">
        <v>44386</v>
      </c>
      <c r="D129" s="16" t="s">
        <v>66</v>
      </c>
      <c r="E129" s="16"/>
      <c r="F129" s="16" t="s">
        <v>102</v>
      </c>
      <c r="G129" s="16" t="s">
        <v>25</v>
      </c>
      <c r="H129" s="18">
        <v>0.9682765999999674</v>
      </c>
      <c r="I129" s="19">
        <v>15.03</v>
      </c>
      <c r="J129" s="19">
        <v>14.553197297999509</v>
      </c>
      <c r="K129" s="19">
        <v>0</v>
      </c>
      <c r="L129" s="16">
        <v>1</v>
      </c>
      <c r="M129" s="18">
        <v>1.0579999999999999E-3</v>
      </c>
      <c r="N129" s="18">
        <v>0.96933459999996741</v>
      </c>
    </row>
    <row r="130" spans="1:14" x14ac:dyDescent="0.35">
      <c r="A130" s="16"/>
      <c r="B130" s="16"/>
      <c r="C130" s="17">
        <v>44387</v>
      </c>
      <c r="D130" s="16" t="s">
        <v>66</v>
      </c>
      <c r="E130" s="16"/>
      <c r="F130" s="16" t="s">
        <v>102</v>
      </c>
      <c r="G130" s="16" t="s">
        <v>25</v>
      </c>
      <c r="H130" s="18">
        <v>0.71943120000003091</v>
      </c>
      <c r="I130" s="19">
        <v>15.47</v>
      </c>
      <c r="J130" s="19">
        <v>11.129600664000479</v>
      </c>
      <c r="K130" s="19">
        <v>0</v>
      </c>
      <c r="L130" s="16">
        <v>1</v>
      </c>
      <c r="M130" s="18">
        <v>1.0579999999999999E-3</v>
      </c>
      <c r="N130" s="18">
        <v>0.72048920000003092</v>
      </c>
    </row>
    <row r="131" spans="1:14" x14ac:dyDescent="0.35">
      <c r="A131" s="16"/>
      <c r="B131" s="16"/>
      <c r="C131" s="17">
        <v>44388</v>
      </c>
      <c r="D131" s="16" t="s">
        <v>66</v>
      </c>
      <c r="E131" s="16"/>
      <c r="F131" s="16" t="s">
        <v>102</v>
      </c>
      <c r="G131" s="16" t="s">
        <v>25</v>
      </c>
      <c r="H131" s="18">
        <v>0.22595659999996087</v>
      </c>
      <c r="I131" s="19">
        <v>15.69</v>
      </c>
      <c r="J131" s="19">
        <v>3.545259053999386</v>
      </c>
      <c r="K131" s="19">
        <v>0</v>
      </c>
      <c r="L131" s="16">
        <v>1</v>
      </c>
      <c r="M131" s="18">
        <v>1.0579999999999999E-3</v>
      </c>
      <c r="N131" s="18">
        <v>0.22701459999996088</v>
      </c>
    </row>
    <row r="132" spans="1:14" x14ac:dyDescent="0.35">
      <c r="A132" s="16"/>
      <c r="B132" s="16"/>
      <c r="C132" s="17">
        <v>44389</v>
      </c>
      <c r="D132" s="16" t="s">
        <v>66</v>
      </c>
      <c r="E132" s="16"/>
      <c r="F132" s="16" t="s">
        <v>102</v>
      </c>
      <c r="G132" s="16" t="s">
        <v>25</v>
      </c>
      <c r="H132" s="18">
        <v>0.90956149999999525</v>
      </c>
      <c r="I132" s="19">
        <v>15.66</v>
      </c>
      <c r="J132" s="19">
        <v>14.243733089999926</v>
      </c>
      <c r="K132" s="19">
        <v>0</v>
      </c>
      <c r="L132" s="16">
        <v>1</v>
      </c>
      <c r="M132" s="18">
        <v>1.0579999999999999E-3</v>
      </c>
      <c r="N132" s="18">
        <v>0.91061949999999525</v>
      </c>
    </row>
    <row r="133" spans="1:14" x14ac:dyDescent="0.35">
      <c r="A133" s="16"/>
      <c r="B133" s="16"/>
      <c r="C133" s="17">
        <v>44390</v>
      </c>
      <c r="D133" s="16" t="s">
        <v>66</v>
      </c>
      <c r="E133" s="16"/>
      <c r="F133" s="16" t="s">
        <v>102</v>
      </c>
      <c r="G133" s="16" t="s">
        <v>25</v>
      </c>
      <c r="H133" s="18">
        <v>1.4047290000000316</v>
      </c>
      <c r="I133" s="19">
        <v>14.33</v>
      </c>
      <c r="J133" s="19">
        <v>20.129766570000452</v>
      </c>
      <c r="K133" s="19">
        <v>0</v>
      </c>
      <c r="L133" s="16">
        <v>1</v>
      </c>
      <c r="M133" s="18">
        <v>1.0579999999999999E-3</v>
      </c>
      <c r="N133" s="18">
        <v>1.4057870000000317</v>
      </c>
    </row>
    <row r="134" spans="1:14" x14ac:dyDescent="0.35">
      <c r="A134" s="16"/>
      <c r="B134" s="16"/>
      <c r="C134" s="17">
        <v>44391</v>
      </c>
      <c r="D134" s="16" t="s">
        <v>66</v>
      </c>
      <c r="E134" s="16"/>
      <c r="F134" s="16" t="s">
        <v>102</v>
      </c>
      <c r="G134" s="16" t="s">
        <v>25</v>
      </c>
      <c r="H134" s="18">
        <v>1.1559535000000096</v>
      </c>
      <c r="I134" s="19">
        <v>14.72</v>
      </c>
      <c r="J134" s="19">
        <v>17.015635520000142</v>
      </c>
      <c r="K134" s="19">
        <v>0</v>
      </c>
      <c r="L134" s="16">
        <v>1</v>
      </c>
      <c r="M134" s="18">
        <v>1.0579999999999999E-3</v>
      </c>
      <c r="N134" s="18">
        <v>1.1570115000000096</v>
      </c>
    </row>
    <row r="135" spans="1:14" x14ac:dyDescent="0.35">
      <c r="A135" s="16"/>
      <c r="B135" s="16"/>
      <c r="C135" s="17">
        <v>44392</v>
      </c>
      <c r="D135" s="16" t="s">
        <v>66</v>
      </c>
      <c r="E135" s="16"/>
      <c r="F135" s="16" t="s">
        <v>102</v>
      </c>
      <c r="G135" s="16" t="s">
        <v>25</v>
      </c>
      <c r="H135" s="18">
        <v>0.46795900000000756</v>
      </c>
      <c r="I135" s="19">
        <v>13.24</v>
      </c>
      <c r="J135" s="19">
        <v>6.1957771600000999</v>
      </c>
      <c r="K135" s="19">
        <v>0</v>
      </c>
      <c r="L135" s="16">
        <v>1</v>
      </c>
      <c r="M135" s="18">
        <v>1.0579999999999999E-3</v>
      </c>
      <c r="N135" s="18">
        <v>0.46901700000000757</v>
      </c>
    </row>
    <row r="136" spans="1:14" x14ac:dyDescent="0.35">
      <c r="A136" s="16"/>
      <c r="B136" s="16"/>
      <c r="C136" s="17">
        <v>44393</v>
      </c>
      <c r="D136" s="16" t="s">
        <v>66</v>
      </c>
      <c r="E136" s="16"/>
      <c r="F136" s="16" t="s">
        <v>102</v>
      </c>
      <c r="G136" s="16" t="s">
        <v>25</v>
      </c>
      <c r="H136" s="18">
        <v>1.5111969999999815</v>
      </c>
      <c r="I136" s="19">
        <v>13.86</v>
      </c>
      <c r="J136" s="19">
        <v>20.945190419999744</v>
      </c>
      <c r="K136" s="19">
        <v>0</v>
      </c>
      <c r="L136" s="16">
        <v>1</v>
      </c>
      <c r="M136" s="18">
        <v>1.0579999999999999E-3</v>
      </c>
      <c r="N136" s="18">
        <v>1.5122549999999815</v>
      </c>
    </row>
    <row r="137" spans="1:14" x14ac:dyDescent="0.35">
      <c r="A137" s="16"/>
      <c r="B137" s="16"/>
      <c r="C137" s="17">
        <v>44394</v>
      </c>
      <c r="D137" s="16" t="s">
        <v>66</v>
      </c>
      <c r="E137" s="16"/>
      <c r="F137" s="16" t="s">
        <v>102</v>
      </c>
      <c r="G137" s="16" t="s">
        <v>25</v>
      </c>
      <c r="H137" s="18">
        <v>0.13336590000000115</v>
      </c>
      <c r="I137" s="19">
        <v>13.45</v>
      </c>
      <c r="J137" s="19">
        <v>1.7937713550000154</v>
      </c>
      <c r="K137" s="19">
        <v>0</v>
      </c>
      <c r="L137" s="16">
        <v>1</v>
      </c>
      <c r="M137" s="18">
        <v>1.0579999999999999E-3</v>
      </c>
      <c r="N137" s="18">
        <v>0.13442390000000115</v>
      </c>
    </row>
    <row r="138" spans="1:14" x14ac:dyDescent="0.35">
      <c r="A138" s="16"/>
      <c r="B138" s="16"/>
      <c r="C138" s="17">
        <v>44395</v>
      </c>
      <c r="D138" s="16" t="s">
        <v>66</v>
      </c>
      <c r="E138" s="16"/>
      <c r="F138" s="16" t="s">
        <v>102</v>
      </c>
      <c r="G138" s="16" t="s">
        <v>25</v>
      </c>
      <c r="H138" s="18">
        <v>0.65834510000001956</v>
      </c>
      <c r="I138" s="19">
        <v>12.17</v>
      </c>
      <c r="J138" s="19">
        <v>8.0120598670002376</v>
      </c>
      <c r="K138" s="19">
        <v>0</v>
      </c>
      <c r="L138" s="16">
        <v>1</v>
      </c>
      <c r="M138" s="18">
        <v>1.0579999999999999E-3</v>
      </c>
      <c r="N138" s="18">
        <v>0.65940310000001956</v>
      </c>
    </row>
    <row r="139" spans="1:14" x14ac:dyDescent="0.35">
      <c r="A139" s="16"/>
      <c r="B139" s="16"/>
      <c r="C139" s="17">
        <v>44396</v>
      </c>
      <c r="D139" s="16" t="s">
        <v>66</v>
      </c>
      <c r="E139" s="16"/>
      <c r="F139" s="16" t="s">
        <v>102</v>
      </c>
      <c r="G139" s="16" t="s">
        <v>25</v>
      </c>
      <c r="H139" s="18">
        <v>0.8229778999999553</v>
      </c>
      <c r="I139" s="19">
        <v>12.52</v>
      </c>
      <c r="J139" s="19">
        <v>10.303683307999441</v>
      </c>
      <c r="K139" s="19">
        <v>0</v>
      </c>
      <c r="L139" s="16">
        <v>1</v>
      </c>
      <c r="M139" s="18">
        <v>1.0579999999999999E-3</v>
      </c>
      <c r="N139" s="18">
        <v>0.8240358999999553</v>
      </c>
    </row>
    <row r="140" spans="1:14" x14ac:dyDescent="0.35">
      <c r="A140" s="16"/>
      <c r="B140" s="16"/>
      <c r="C140" s="17">
        <v>44397</v>
      </c>
      <c r="D140" s="16" t="s">
        <v>66</v>
      </c>
      <c r="E140" s="16"/>
      <c r="F140" s="16" t="s">
        <v>102</v>
      </c>
      <c r="G140" s="16" t="s">
        <v>25</v>
      </c>
      <c r="H140" s="18">
        <v>1.2107838000000015</v>
      </c>
      <c r="I140" s="19">
        <v>12.35</v>
      </c>
      <c r="J140" s="19">
        <v>14.953179930000019</v>
      </c>
      <c r="K140" s="19">
        <v>0</v>
      </c>
      <c r="L140" s="16">
        <v>1</v>
      </c>
      <c r="M140" s="18">
        <v>1.0579999999999999E-3</v>
      </c>
      <c r="N140" s="18">
        <v>1.2118418000000015</v>
      </c>
    </row>
    <row r="141" spans="1:14" x14ac:dyDescent="0.35">
      <c r="A141" s="16"/>
      <c r="B141" s="16"/>
      <c r="C141" s="17">
        <v>44398</v>
      </c>
      <c r="D141" s="16" t="s">
        <v>66</v>
      </c>
      <c r="E141" s="16"/>
      <c r="F141" s="16" t="s">
        <v>102</v>
      </c>
      <c r="G141" s="16" t="s">
        <v>25</v>
      </c>
      <c r="H141" s="18">
        <v>0.36150230000004058</v>
      </c>
      <c r="I141" s="19">
        <v>13.71</v>
      </c>
      <c r="J141" s="19">
        <v>4.9561965330005568</v>
      </c>
      <c r="K141" s="19">
        <v>0</v>
      </c>
      <c r="L141" s="16">
        <v>1</v>
      </c>
      <c r="M141" s="18">
        <v>1.0579999999999999E-3</v>
      </c>
      <c r="N141" s="18">
        <v>0.36256030000004058</v>
      </c>
    </row>
    <row r="142" spans="1:14" x14ac:dyDescent="0.35">
      <c r="A142" s="16"/>
      <c r="B142" s="16"/>
      <c r="C142" s="17">
        <v>44399</v>
      </c>
      <c r="D142" s="16" t="s">
        <v>66</v>
      </c>
      <c r="E142" s="16"/>
      <c r="F142" s="16" t="s">
        <v>102</v>
      </c>
      <c r="G142" s="16" t="s">
        <v>25</v>
      </c>
      <c r="H142" s="18">
        <v>0.14679339999997865</v>
      </c>
      <c r="I142" s="19">
        <v>13.1</v>
      </c>
      <c r="J142" s="19">
        <v>1.9229935399997202</v>
      </c>
      <c r="K142" s="19">
        <v>0</v>
      </c>
      <c r="L142" s="16">
        <v>1</v>
      </c>
      <c r="M142" s="18">
        <v>1.0579999999999999E-3</v>
      </c>
      <c r="N142" s="18">
        <v>0.14785139999997865</v>
      </c>
    </row>
    <row r="143" spans="1:14" x14ac:dyDescent="0.35">
      <c r="A143" s="16"/>
      <c r="B143" s="16"/>
      <c r="C143" s="17">
        <v>44400</v>
      </c>
      <c r="D143" s="16" t="s">
        <v>66</v>
      </c>
      <c r="E143" s="16"/>
      <c r="F143" s="16" t="s">
        <v>102</v>
      </c>
      <c r="G143" s="16" t="s">
        <v>25</v>
      </c>
      <c r="H143" s="18">
        <v>0.52336289999999508</v>
      </c>
      <c r="I143" s="19">
        <v>14.11</v>
      </c>
      <c r="J143" s="19">
        <v>7.3846505189999299</v>
      </c>
      <c r="K143" s="19">
        <v>0</v>
      </c>
      <c r="L143" s="16">
        <v>1</v>
      </c>
      <c r="M143" s="18">
        <v>1.0579999999999999E-3</v>
      </c>
      <c r="N143" s="18">
        <v>0.52442089999999508</v>
      </c>
    </row>
    <row r="144" spans="1:14" x14ac:dyDescent="0.35">
      <c r="A144" s="16"/>
      <c r="B144" s="16"/>
      <c r="C144" s="17">
        <v>44401</v>
      </c>
      <c r="D144" s="16" t="s">
        <v>66</v>
      </c>
      <c r="E144" s="16"/>
      <c r="F144" s="16" t="s">
        <v>102</v>
      </c>
      <c r="G144" s="16" t="s">
        <v>25</v>
      </c>
      <c r="H144" s="18">
        <v>0.56473629999999275</v>
      </c>
      <c r="I144" s="19">
        <v>14.29</v>
      </c>
      <c r="J144" s="19">
        <v>8.0700817269998968</v>
      </c>
      <c r="K144" s="19">
        <v>0</v>
      </c>
      <c r="L144" s="16">
        <v>1</v>
      </c>
      <c r="M144" s="18">
        <v>1.0579999999999999E-3</v>
      </c>
      <c r="N144" s="18">
        <v>0.56579429999999276</v>
      </c>
    </row>
    <row r="145" spans="1:14" x14ac:dyDescent="0.35">
      <c r="A145" s="16"/>
      <c r="B145" s="16"/>
      <c r="C145" s="17">
        <v>44402</v>
      </c>
      <c r="D145" s="16" t="s">
        <v>66</v>
      </c>
      <c r="E145" s="16"/>
      <c r="F145" s="16" t="s">
        <v>102</v>
      </c>
      <c r="G145" s="16" t="s">
        <v>25</v>
      </c>
      <c r="H145" s="18">
        <v>0.93061090000003333</v>
      </c>
      <c r="I145" s="19">
        <v>14.17</v>
      </c>
      <c r="J145" s="19">
        <v>13.186756453000472</v>
      </c>
      <c r="K145" s="19">
        <v>0</v>
      </c>
      <c r="L145" s="16">
        <v>1</v>
      </c>
      <c r="M145" s="18">
        <v>1.0579999999999999E-3</v>
      </c>
      <c r="N145" s="18">
        <v>0.93166890000003333</v>
      </c>
    </row>
    <row r="146" spans="1:14" x14ac:dyDescent="0.35">
      <c r="A146" s="16"/>
      <c r="B146" s="16"/>
      <c r="C146" s="17">
        <v>44403</v>
      </c>
      <c r="D146" s="16" t="s">
        <v>66</v>
      </c>
      <c r="E146" s="16"/>
      <c r="F146" s="16" t="s">
        <v>102</v>
      </c>
      <c r="G146" s="16" t="s">
        <v>25</v>
      </c>
      <c r="H146" s="18">
        <v>7.7817199999969944E-2</v>
      </c>
      <c r="I146" s="19">
        <v>15.62</v>
      </c>
      <c r="J146" s="19">
        <v>1.2155046639995304</v>
      </c>
      <c r="K146" s="19">
        <v>0</v>
      </c>
      <c r="L146" s="16">
        <v>1</v>
      </c>
      <c r="M146" s="18">
        <v>1.0579999999999999E-3</v>
      </c>
      <c r="N146" s="18">
        <v>7.8875199999969947E-2</v>
      </c>
    </row>
    <row r="147" spans="1:14" x14ac:dyDescent="0.35">
      <c r="A147" s="16"/>
      <c r="B147" s="16"/>
      <c r="C147" s="17">
        <v>44404</v>
      </c>
      <c r="D147" s="16" t="s">
        <v>66</v>
      </c>
      <c r="E147" s="16"/>
      <c r="F147" s="16" t="s">
        <v>102</v>
      </c>
      <c r="G147" s="16" t="s">
        <v>25</v>
      </c>
      <c r="H147" s="18">
        <v>1.3382263000000307</v>
      </c>
      <c r="I147" s="19">
        <v>15.18</v>
      </c>
      <c r="J147" s="19">
        <v>20.314275234000466</v>
      </c>
      <c r="K147" s="19">
        <v>0</v>
      </c>
      <c r="L147" s="16">
        <v>1</v>
      </c>
      <c r="M147" s="18">
        <v>1.0579999999999999E-3</v>
      </c>
      <c r="N147" s="18">
        <v>1.3392843000000307</v>
      </c>
    </row>
    <row r="148" spans="1:14" x14ac:dyDescent="0.35">
      <c r="A148" s="16"/>
      <c r="B148" s="16"/>
      <c r="C148" s="17">
        <v>44405</v>
      </c>
      <c r="D148" s="16" t="s">
        <v>66</v>
      </c>
      <c r="E148" s="16"/>
      <c r="F148" s="16" t="s">
        <v>102</v>
      </c>
      <c r="G148" s="16" t="s">
        <v>25</v>
      </c>
      <c r="H148" s="18">
        <v>1.2744746999999848</v>
      </c>
      <c r="I148" s="19">
        <v>15.32</v>
      </c>
      <c r="J148" s="19">
        <v>19.524952403999766</v>
      </c>
      <c r="K148" s="19">
        <v>0</v>
      </c>
      <c r="L148" s="16">
        <v>1</v>
      </c>
      <c r="M148" s="18">
        <v>1.0579999999999999E-3</v>
      </c>
      <c r="N148" s="18">
        <v>1.2755326999999848</v>
      </c>
    </row>
    <row r="149" spans="1:14" x14ac:dyDescent="0.35">
      <c r="A149" s="16"/>
      <c r="B149" s="16"/>
      <c r="C149" s="17">
        <v>44406</v>
      </c>
      <c r="D149" s="16" t="s">
        <v>66</v>
      </c>
      <c r="E149" s="16"/>
      <c r="F149" s="16" t="s">
        <v>102</v>
      </c>
      <c r="G149" s="16" t="s">
        <v>25</v>
      </c>
      <c r="H149" s="18">
        <v>0.67056609999997363</v>
      </c>
      <c r="I149" s="19">
        <v>15.64</v>
      </c>
      <c r="J149" s="19">
        <v>10.487653803999589</v>
      </c>
      <c r="K149" s="19">
        <v>0</v>
      </c>
      <c r="L149" s="16">
        <v>1</v>
      </c>
      <c r="M149" s="18">
        <v>1.0579999999999999E-3</v>
      </c>
      <c r="N149" s="18">
        <v>0.67162409999997363</v>
      </c>
    </row>
    <row r="150" spans="1:14" x14ac:dyDescent="0.35">
      <c r="A150" s="16"/>
      <c r="B150" s="16"/>
      <c r="C150" s="17">
        <v>44407</v>
      </c>
      <c r="D150" s="16" t="s">
        <v>66</v>
      </c>
      <c r="E150" s="16"/>
      <c r="F150" s="16" t="s">
        <v>102</v>
      </c>
      <c r="G150" s="16" t="s">
        <v>25</v>
      </c>
      <c r="H150" s="18">
        <v>0.54421010000004344</v>
      </c>
      <c r="I150" s="19">
        <v>16.95</v>
      </c>
      <c r="J150" s="19">
        <v>9.2243611950007356</v>
      </c>
      <c r="K150" s="19">
        <v>0</v>
      </c>
      <c r="L150" s="16">
        <v>1</v>
      </c>
      <c r="M150" s="18">
        <v>1.0579999999999999E-3</v>
      </c>
      <c r="N150" s="18">
        <v>0.54526810000004344</v>
      </c>
    </row>
    <row r="151" spans="1:14" x14ac:dyDescent="0.35">
      <c r="A151" s="16"/>
      <c r="B151" s="16"/>
      <c r="C151" s="17">
        <v>44408</v>
      </c>
      <c r="D151" s="16" t="s">
        <v>66</v>
      </c>
      <c r="E151" s="16"/>
      <c r="F151" s="16" t="s">
        <v>102</v>
      </c>
      <c r="G151" s="16" t="s">
        <v>25</v>
      </c>
      <c r="H151" s="18">
        <v>1.2E-2</v>
      </c>
      <c r="I151" s="19">
        <v>16.75</v>
      </c>
      <c r="J151" s="19">
        <v>0.20100000000000001</v>
      </c>
      <c r="K151" s="19">
        <v>0</v>
      </c>
      <c r="L151" s="16">
        <v>1</v>
      </c>
      <c r="M151" s="18">
        <v>1.0579999999999999E-3</v>
      </c>
      <c r="N151" s="18">
        <v>1.3058E-2</v>
      </c>
    </row>
    <row r="152" spans="1:14" x14ac:dyDescent="0.35">
      <c r="A152" s="16"/>
      <c r="B152" s="16"/>
      <c r="C152" s="17">
        <v>44409</v>
      </c>
      <c r="D152" s="16" t="s">
        <v>66</v>
      </c>
      <c r="E152" s="16"/>
      <c r="F152" s="16" t="s">
        <v>102</v>
      </c>
      <c r="G152" s="16" t="s">
        <v>25</v>
      </c>
      <c r="H152" s="18">
        <v>0.32518570000002001</v>
      </c>
      <c r="I152" s="19">
        <v>16.79</v>
      </c>
      <c r="J152" s="19">
        <v>5.4598679030003359</v>
      </c>
      <c r="K152" s="19">
        <v>0</v>
      </c>
      <c r="L152" s="16">
        <v>1</v>
      </c>
      <c r="M152" s="18">
        <v>1.0579999999999999E-3</v>
      </c>
      <c r="N152" s="18">
        <v>0.32624370000002001</v>
      </c>
    </row>
    <row r="153" spans="1:14" x14ac:dyDescent="0.35">
      <c r="A153" s="16"/>
      <c r="B153" s="16"/>
      <c r="C153" s="17">
        <v>44410</v>
      </c>
      <c r="D153" s="16" t="s">
        <v>66</v>
      </c>
      <c r="E153" s="16"/>
      <c r="F153" s="16" t="s">
        <v>102</v>
      </c>
      <c r="G153" s="16" t="s">
        <v>25</v>
      </c>
      <c r="H153" s="18">
        <v>0.69543260000000373</v>
      </c>
      <c r="I153" s="19">
        <v>16.41</v>
      </c>
      <c r="J153" s="19">
        <v>11.412048966000061</v>
      </c>
      <c r="K153" s="19">
        <v>0</v>
      </c>
      <c r="L153" s="16">
        <v>1</v>
      </c>
      <c r="M153" s="18">
        <v>1.0579999999999999E-3</v>
      </c>
      <c r="N153" s="18">
        <v>0.69649060000000373</v>
      </c>
    </row>
    <row r="154" spans="1:14" x14ac:dyDescent="0.35">
      <c r="A154" s="16"/>
      <c r="B154" s="16"/>
      <c r="C154" s="17">
        <v>44411</v>
      </c>
      <c r="D154" s="16" t="s">
        <v>66</v>
      </c>
      <c r="E154" s="16"/>
      <c r="F154" s="16" t="s">
        <v>102</v>
      </c>
      <c r="G154" s="16" t="s">
        <v>25</v>
      </c>
      <c r="H154" s="18">
        <v>0.51176370000001725</v>
      </c>
      <c r="I154" s="19">
        <v>17.25</v>
      </c>
      <c r="J154" s="19">
        <v>8.8279238250002976</v>
      </c>
      <c r="K154" s="19">
        <v>0</v>
      </c>
      <c r="L154" s="16">
        <v>1</v>
      </c>
      <c r="M154" s="18">
        <v>1.0579999999999999E-3</v>
      </c>
      <c r="N154" s="18">
        <v>0.51282170000001726</v>
      </c>
    </row>
    <row r="155" spans="1:14" x14ac:dyDescent="0.35">
      <c r="A155" s="16"/>
      <c r="B155" s="16"/>
      <c r="C155" s="17">
        <v>44412</v>
      </c>
      <c r="D155" s="16" t="s">
        <v>66</v>
      </c>
      <c r="E155" s="16"/>
      <c r="F155" s="16" t="s">
        <v>102</v>
      </c>
      <c r="G155" s="16" t="s">
        <v>25</v>
      </c>
      <c r="H155" s="18">
        <v>0.51382259999996904</v>
      </c>
      <c r="I155" s="19">
        <v>18.82</v>
      </c>
      <c r="J155" s="19">
        <v>9.6701413319994174</v>
      </c>
      <c r="K155" s="19">
        <v>0</v>
      </c>
      <c r="L155" s="16">
        <v>1</v>
      </c>
      <c r="M155" s="18">
        <v>1.0579999999999999E-3</v>
      </c>
      <c r="N155" s="18">
        <v>0.51488059999996905</v>
      </c>
    </row>
    <row r="156" spans="1:14" x14ac:dyDescent="0.35">
      <c r="A156" s="16"/>
      <c r="B156" s="16"/>
      <c r="C156" s="17">
        <v>44413</v>
      </c>
      <c r="D156" s="16" t="s">
        <v>66</v>
      </c>
      <c r="E156" s="16"/>
      <c r="F156" s="16" t="s">
        <v>102</v>
      </c>
      <c r="G156" s="16" t="s">
        <v>25</v>
      </c>
      <c r="H156" s="18">
        <v>0.67671690000003082</v>
      </c>
      <c r="I156" s="19">
        <v>18.45</v>
      </c>
      <c r="J156" s="19">
        <v>12.485426805000568</v>
      </c>
      <c r="K156" s="19">
        <v>0</v>
      </c>
      <c r="L156" s="16">
        <v>1</v>
      </c>
      <c r="M156" s="18">
        <v>1.0579999999999999E-3</v>
      </c>
      <c r="N156" s="18">
        <v>0.67777490000003082</v>
      </c>
    </row>
    <row r="157" spans="1:14" x14ac:dyDescent="0.35">
      <c r="A157" s="16"/>
      <c r="B157" s="16"/>
      <c r="C157" s="17">
        <v>44414</v>
      </c>
      <c r="D157" s="16" t="s">
        <v>66</v>
      </c>
      <c r="E157" s="16"/>
      <c r="F157" s="16" t="s">
        <v>102</v>
      </c>
      <c r="G157" s="16" t="s">
        <v>25</v>
      </c>
      <c r="H157" s="18">
        <v>1.1365566999999714</v>
      </c>
      <c r="I157" s="19">
        <v>18.690000000000001</v>
      </c>
      <c r="J157" s="19">
        <v>21.242244722999466</v>
      </c>
      <c r="K157" s="19">
        <v>0</v>
      </c>
      <c r="L157" s="16">
        <v>1</v>
      </c>
      <c r="M157" s="18">
        <v>1.0579999999999999E-3</v>
      </c>
      <c r="N157" s="18">
        <v>1.1376146999999714</v>
      </c>
    </row>
    <row r="158" spans="1:14" x14ac:dyDescent="0.35">
      <c r="A158" s="16"/>
      <c r="B158" s="16"/>
      <c r="C158" s="17">
        <v>44415</v>
      </c>
      <c r="D158" s="16" t="s">
        <v>66</v>
      </c>
      <c r="E158" s="16"/>
      <c r="F158" s="16" t="s">
        <v>102</v>
      </c>
      <c r="G158" s="16" t="s">
        <v>25</v>
      </c>
      <c r="H158" s="18">
        <v>0.27757630000002109</v>
      </c>
      <c r="I158" s="19">
        <v>18.32</v>
      </c>
      <c r="J158" s="19">
        <v>5.0851978160003863</v>
      </c>
      <c r="K158" s="19">
        <v>0</v>
      </c>
      <c r="L158" s="16">
        <v>1</v>
      </c>
      <c r="M158" s="18">
        <v>1.0579999999999999E-3</v>
      </c>
      <c r="N158" s="18">
        <v>0.2786343000000211</v>
      </c>
    </row>
    <row r="159" spans="1:14" x14ac:dyDescent="0.35">
      <c r="A159" s="16"/>
      <c r="B159" s="16"/>
      <c r="C159" s="17">
        <v>44416</v>
      </c>
      <c r="D159" s="16" t="s">
        <v>66</v>
      </c>
      <c r="E159" s="16"/>
      <c r="F159" s="16" t="s">
        <v>102</v>
      </c>
      <c r="G159" s="16" t="s">
        <v>25</v>
      </c>
      <c r="H159" s="18">
        <v>2.0147000000179105E-3</v>
      </c>
      <c r="I159" s="19">
        <v>18.23</v>
      </c>
      <c r="J159" s="19">
        <v>3.6727981000326509E-2</v>
      </c>
      <c r="K159" s="19">
        <v>0</v>
      </c>
      <c r="L159" s="16">
        <v>1</v>
      </c>
      <c r="M159" s="18">
        <v>1.0579999999999999E-3</v>
      </c>
      <c r="N159" s="18">
        <v>3.0727000000179104E-3</v>
      </c>
    </row>
    <row r="160" spans="1:14" x14ac:dyDescent="0.35">
      <c r="A160" s="16"/>
      <c r="B160" s="16"/>
      <c r="C160" s="17">
        <v>44417</v>
      </c>
      <c r="D160" s="16" t="s">
        <v>66</v>
      </c>
      <c r="E160" s="16"/>
      <c r="F160" s="16" t="s">
        <v>102</v>
      </c>
      <c r="G160" s="16" t="s">
        <v>25</v>
      </c>
      <c r="H160" s="18">
        <v>0.62161079999998492</v>
      </c>
      <c r="I160" s="19">
        <v>19.170000000000002</v>
      </c>
      <c r="J160" s="19">
        <v>11.916279035999713</v>
      </c>
      <c r="K160" s="19">
        <v>0</v>
      </c>
      <c r="L160" s="16">
        <v>1</v>
      </c>
      <c r="M160" s="18">
        <v>1.0579999999999999E-3</v>
      </c>
      <c r="N160" s="18">
        <v>0.62266879999998492</v>
      </c>
    </row>
    <row r="161" spans="1:14" x14ac:dyDescent="0.35">
      <c r="A161" s="16"/>
      <c r="B161" s="16"/>
      <c r="C161" s="17">
        <v>44418</v>
      </c>
      <c r="D161" s="16" t="s">
        <v>66</v>
      </c>
      <c r="E161" s="16"/>
      <c r="F161" s="16" t="s">
        <v>102</v>
      </c>
      <c r="G161" s="16" t="s">
        <v>25</v>
      </c>
      <c r="H161" s="18">
        <v>1.1049585000000093</v>
      </c>
      <c r="I161" s="19">
        <v>19.79</v>
      </c>
      <c r="J161" s="19">
        <v>21.867128715000181</v>
      </c>
      <c r="K161" s="19">
        <v>0</v>
      </c>
      <c r="L161" s="16">
        <v>1</v>
      </c>
      <c r="M161" s="18">
        <v>1.0579999999999999E-3</v>
      </c>
      <c r="N161" s="18">
        <v>1.1060165000000093</v>
      </c>
    </row>
    <row r="162" spans="1:14" x14ac:dyDescent="0.35">
      <c r="A162" s="16"/>
      <c r="B162" s="16"/>
      <c r="C162" s="17">
        <v>44419</v>
      </c>
      <c r="D162" s="16" t="s">
        <v>66</v>
      </c>
      <c r="E162" s="16"/>
      <c r="F162" s="16" t="s">
        <v>102</v>
      </c>
      <c r="G162" s="16" t="s">
        <v>25</v>
      </c>
      <c r="H162" s="18">
        <v>0.8916437999999971</v>
      </c>
      <c r="I162" s="19">
        <v>20.98</v>
      </c>
      <c r="J162" s="19">
        <v>18.706686923999939</v>
      </c>
      <c r="K162" s="19">
        <v>0</v>
      </c>
      <c r="L162" s="16">
        <v>1</v>
      </c>
      <c r="M162" s="18">
        <v>1.0579999999999999E-3</v>
      </c>
      <c r="N162" s="18">
        <v>0.8927017999999971</v>
      </c>
    </row>
    <row r="163" spans="1:14" x14ac:dyDescent="0.35">
      <c r="A163" s="16"/>
      <c r="B163" s="16"/>
      <c r="C163" s="17">
        <v>44420</v>
      </c>
      <c r="D163" s="16" t="s">
        <v>66</v>
      </c>
      <c r="E163" s="16"/>
      <c r="F163" s="16" t="s">
        <v>102</v>
      </c>
      <c r="G163" s="16" t="s">
        <v>25</v>
      </c>
      <c r="H163" s="18">
        <v>0.29417630000000372</v>
      </c>
      <c r="I163" s="19">
        <v>20.76</v>
      </c>
      <c r="J163" s="19">
        <v>6.107099988000078</v>
      </c>
      <c r="K163" s="19">
        <v>0</v>
      </c>
      <c r="L163" s="16">
        <v>1</v>
      </c>
      <c r="M163" s="18">
        <v>1.0579999999999999E-3</v>
      </c>
      <c r="N163" s="18">
        <v>0.29523430000000372</v>
      </c>
    </row>
    <row r="164" spans="1:14" x14ac:dyDescent="0.35">
      <c r="A164" s="16"/>
      <c r="B164" s="16"/>
      <c r="C164" s="17">
        <v>44421</v>
      </c>
      <c r="D164" s="16" t="s">
        <v>66</v>
      </c>
      <c r="E164" s="16"/>
      <c r="F164" s="16" t="s">
        <v>102</v>
      </c>
      <c r="G164" s="16" t="s">
        <v>25</v>
      </c>
      <c r="H164" s="18">
        <v>0.8431034999999838</v>
      </c>
      <c r="I164" s="19">
        <v>21.12</v>
      </c>
      <c r="J164" s="19">
        <v>17.806345919999657</v>
      </c>
      <c r="K164" s="19">
        <v>0</v>
      </c>
      <c r="L164" s="16">
        <v>1</v>
      </c>
      <c r="M164" s="18">
        <v>1.0579999999999999E-3</v>
      </c>
      <c r="N164" s="18">
        <v>0.8441614999999838</v>
      </c>
    </row>
    <row r="165" spans="1:14" x14ac:dyDescent="0.35">
      <c r="A165" s="16"/>
      <c r="B165" s="16"/>
      <c r="C165" s="17">
        <v>44422</v>
      </c>
      <c r="D165" s="16" t="s">
        <v>66</v>
      </c>
      <c r="E165" s="16"/>
      <c r="F165" s="16" t="s">
        <v>102</v>
      </c>
      <c r="G165" s="16" t="s">
        <v>25</v>
      </c>
      <c r="H165" s="18">
        <v>0.25737249999997402</v>
      </c>
      <c r="I165" s="19">
        <v>21.69</v>
      </c>
      <c r="J165" s="19">
        <v>5.582409524999437</v>
      </c>
      <c r="K165" s="19">
        <v>0</v>
      </c>
      <c r="L165" s="16">
        <v>1</v>
      </c>
      <c r="M165" s="18">
        <v>1.0579999999999999E-3</v>
      </c>
      <c r="N165" s="18">
        <v>0.25843049999997403</v>
      </c>
    </row>
    <row r="166" spans="1:14" x14ac:dyDescent="0.35">
      <c r="A166" s="16"/>
      <c r="B166" s="16"/>
      <c r="C166" s="17">
        <v>44423</v>
      </c>
      <c r="D166" s="16" t="s">
        <v>66</v>
      </c>
      <c r="E166" s="16"/>
      <c r="F166" s="16" t="s">
        <v>102</v>
      </c>
      <c r="G166" s="16" t="s">
        <v>25</v>
      </c>
      <c r="H166" s="18">
        <v>0.15419860000002927</v>
      </c>
      <c r="I166" s="19">
        <v>21.31</v>
      </c>
      <c r="J166" s="19">
        <v>3.2859721660006236</v>
      </c>
      <c r="K166" s="19">
        <v>0</v>
      </c>
      <c r="L166" s="16">
        <v>1</v>
      </c>
      <c r="M166" s="18">
        <v>1.0579999999999999E-3</v>
      </c>
      <c r="N166" s="18">
        <v>0.15525660000002928</v>
      </c>
    </row>
    <row r="167" spans="1:14" x14ac:dyDescent="0.35">
      <c r="A167" s="16"/>
      <c r="B167" s="16"/>
      <c r="C167" s="17">
        <v>44424</v>
      </c>
      <c r="D167" s="16" t="s">
        <v>66</v>
      </c>
      <c r="E167" s="16"/>
      <c r="F167" s="16" t="s">
        <v>102</v>
      </c>
      <c r="G167" s="16" t="s">
        <v>25</v>
      </c>
      <c r="H167" s="18">
        <v>1.1375479000000155</v>
      </c>
      <c r="I167" s="19">
        <v>21.08</v>
      </c>
      <c r="J167" s="19">
        <v>23.979509732000324</v>
      </c>
      <c r="K167" s="19">
        <v>0</v>
      </c>
      <c r="L167" s="16">
        <v>1</v>
      </c>
      <c r="M167" s="18">
        <v>1.0579999999999999E-3</v>
      </c>
      <c r="N167" s="18">
        <v>1.1386059000000155</v>
      </c>
    </row>
    <row r="168" spans="1:14" x14ac:dyDescent="0.35">
      <c r="A168" s="16"/>
      <c r="B168" s="16"/>
      <c r="C168" s="17">
        <v>44425</v>
      </c>
      <c r="D168" s="16" t="s">
        <v>66</v>
      </c>
      <c r="E168" s="16"/>
      <c r="F168" s="16" t="s">
        <v>102</v>
      </c>
      <c r="G168" s="16" t="s">
        <v>25</v>
      </c>
      <c r="H168" s="18">
        <v>0.65372229999996989</v>
      </c>
      <c r="I168" s="19">
        <v>21.19</v>
      </c>
      <c r="J168" s="19">
        <v>13.852375536999363</v>
      </c>
      <c r="K168" s="19">
        <v>0</v>
      </c>
      <c r="L168" s="16">
        <v>1</v>
      </c>
      <c r="M168" s="18">
        <v>1.0579999999999999E-3</v>
      </c>
      <c r="N168" s="18">
        <v>0.65478029999996989</v>
      </c>
    </row>
    <row r="169" spans="1:14" x14ac:dyDescent="0.35">
      <c r="A169" s="16"/>
      <c r="B169" s="16"/>
      <c r="C169" s="17">
        <v>44426</v>
      </c>
      <c r="D169" s="16" t="s">
        <v>66</v>
      </c>
      <c r="E169" s="16"/>
      <c r="F169" s="16" t="s">
        <v>102</v>
      </c>
      <c r="G169" s="16" t="s">
        <v>25</v>
      </c>
      <c r="H169" s="18">
        <v>0.15715610000000879</v>
      </c>
      <c r="I169" s="19">
        <v>22.98</v>
      </c>
      <c r="J169" s="19">
        <v>3.6114471780002022</v>
      </c>
      <c r="K169" s="19">
        <v>0</v>
      </c>
      <c r="L169" s="16">
        <v>1</v>
      </c>
      <c r="M169" s="18">
        <v>1.0579999999999999E-3</v>
      </c>
      <c r="N169" s="18">
        <v>0.15821410000000879</v>
      </c>
    </row>
    <row r="170" spans="1:14" x14ac:dyDescent="0.35">
      <c r="A170" s="16"/>
      <c r="B170" s="16"/>
      <c r="C170" s="17">
        <v>44427</v>
      </c>
      <c r="D170" s="16" t="s">
        <v>66</v>
      </c>
      <c r="E170" s="16"/>
      <c r="F170" s="16" t="s">
        <v>102</v>
      </c>
      <c r="G170" s="16" t="s">
        <v>25</v>
      </c>
      <c r="H170" s="18">
        <v>0.93751969999999574</v>
      </c>
      <c r="I170" s="19">
        <v>23.63</v>
      </c>
      <c r="J170" s="19">
        <v>22.153590510999898</v>
      </c>
      <c r="K170" s="19">
        <v>0</v>
      </c>
      <c r="L170" s="16">
        <v>1</v>
      </c>
      <c r="M170" s="18">
        <v>1.0579999999999999E-3</v>
      </c>
      <c r="N170" s="18">
        <v>0.93857769999999574</v>
      </c>
    </row>
    <row r="171" spans="1:14" x14ac:dyDescent="0.35">
      <c r="A171" s="16"/>
      <c r="B171" s="16"/>
      <c r="C171" s="17">
        <v>44428</v>
      </c>
      <c r="D171" s="16" t="s">
        <v>66</v>
      </c>
      <c r="E171" s="16"/>
      <c r="F171" s="16" t="s">
        <v>102</v>
      </c>
      <c r="G171" s="16" t="s">
        <v>25</v>
      </c>
      <c r="H171" s="18">
        <v>5.5400000002236993E-4</v>
      </c>
      <c r="I171" s="19">
        <v>24.77</v>
      </c>
      <c r="J171" s="19">
        <v>1.3722580000554103E-2</v>
      </c>
      <c r="K171" s="19">
        <v>0</v>
      </c>
      <c r="L171" s="16">
        <v>1</v>
      </c>
      <c r="M171" s="18">
        <v>1.0579999999999999E-3</v>
      </c>
      <c r="N171" s="18">
        <v>1.6120000000223698E-3</v>
      </c>
    </row>
    <row r="172" spans="1:14" x14ac:dyDescent="0.35">
      <c r="A172" s="16"/>
      <c r="B172" s="16"/>
      <c r="C172" s="17">
        <v>44429</v>
      </c>
      <c r="D172" s="16" t="s">
        <v>66</v>
      </c>
      <c r="E172" s="16"/>
      <c r="F172" s="16" t="s">
        <v>102</v>
      </c>
      <c r="G172" s="16" t="s">
        <v>25</v>
      </c>
      <c r="H172" s="18">
        <v>0.27292749999998023</v>
      </c>
      <c r="I172" s="19">
        <v>23.01</v>
      </c>
      <c r="J172" s="19">
        <v>6.2800617749995453</v>
      </c>
      <c r="K172" s="19">
        <v>0</v>
      </c>
      <c r="L172" s="16">
        <v>1</v>
      </c>
      <c r="M172" s="18">
        <v>1.0579999999999999E-3</v>
      </c>
      <c r="N172" s="18">
        <v>0.27398549999998023</v>
      </c>
    </row>
    <row r="173" spans="1:14" x14ac:dyDescent="0.35">
      <c r="A173" s="16"/>
      <c r="B173" s="16"/>
      <c r="C173" s="17">
        <v>44430</v>
      </c>
      <c r="D173" s="16" t="s">
        <v>66</v>
      </c>
      <c r="E173" s="16"/>
      <c r="F173" s="16" t="s">
        <v>102</v>
      </c>
      <c r="G173" s="16" t="s">
        <v>25</v>
      </c>
      <c r="H173" s="18">
        <v>8.9766999999994823E-2</v>
      </c>
      <c r="I173" s="19">
        <v>23.07</v>
      </c>
      <c r="J173" s="19">
        <v>2.0709246899998806</v>
      </c>
      <c r="K173" s="19">
        <v>0</v>
      </c>
      <c r="L173" s="16">
        <v>1</v>
      </c>
      <c r="M173" s="18">
        <v>1.0579999999999999E-3</v>
      </c>
      <c r="N173" s="18">
        <v>9.0824999999994827E-2</v>
      </c>
    </row>
    <row r="174" spans="1:14" x14ac:dyDescent="0.35">
      <c r="A174" s="16"/>
      <c r="B174" s="16"/>
      <c r="C174" s="17">
        <v>44431.547569444447</v>
      </c>
      <c r="D174" s="16" t="s">
        <v>66</v>
      </c>
      <c r="E174" s="16"/>
      <c r="F174" s="16" t="s">
        <v>102</v>
      </c>
      <c r="G174" s="16" t="s">
        <v>25</v>
      </c>
      <c r="H174" s="18">
        <v>0.2540000000000191</v>
      </c>
      <c r="I174" s="19">
        <v>25.361000000000001</v>
      </c>
      <c r="J174" s="19">
        <v>6.441694000000485</v>
      </c>
      <c r="K174" s="19">
        <v>0</v>
      </c>
      <c r="L174" s="16">
        <v>1</v>
      </c>
      <c r="M174" s="18">
        <v>1.0579999999999999E-3</v>
      </c>
      <c r="N174" s="18">
        <v>0.2550580000000191</v>
      </c>
    </row>
    <row r="175" spans="1:14" x14ac:dyDescent="0.35">
      <c r="A175" s="16"/>
      <c r="B175" s="16"/>
      <c r="C175" s="17">
        <v>44432.520092592589</v>
      </c>
      <c r="D175" s="16" t="s">
        <v>66</v>
      </c>
      <c r="E175" s="16"/>
      <c r="F175" s="16" t="s">
        <v>102</v>
      </c>
      <c r="G175" s="16" t="s">
        <v>25</v>
      </c>
      <c r="H175" s="18">
        <v>0.70900000000000318</v>
      </c>
      <c r="I175" s="19">
        <v>23.373000000000001</v>
      </c>
      <c r="J175" s="19">
        <v>16.571457000000077</v>
      </c>
      <c r="K175" s="19">
        <v>0</v>
      </c>
      <c r="L175" s="16">
        <v>1</v>
      </c>
      <c r="M175" s="18">
        <v>1.0579999999999999E-3</v>
      </c>
      <c r="N175" s="18">
        <v>0.71005800000000319</v>
      </c>
    </row>
    <row r="176" spans="1:14" x14ac:dyDescent="0.35">
      <c r="A176" s="16"/>
      <c r="B176" s="16"/>
      <c r="C176" s="17">
        <v>44433.599606481483</v>
      </c>
      <c r="D176" s="16" t="s">
        <v>66</v>
      </c>
      <c r="E176" s="16"/>
      <c r="F176" s="16" t="s">
        <v>102</v>
      </c>
      <c r="G176" s="16" t="s">
        <v>25</v>
      </c>
      <c r="H176" s="18">
        <v>0.78699999999997772</v>
      </c>
      <c r="I176" s="19">
        <v>25.965</v>
      </c>
      <c r="J176" s="19">
        <v>20.434454999999421</v>
      </c>
      <c r="K176" s="19">
        <v>0</v>
      </c>
      <c r="L176" s="16">
        <v>1</v>
      </c>
      <c r="M176" s="18">
        <v>1.0579999999999999E-3</v>
      </c>
      <c r="N176" s="18">
        <v>0.78805799999997772</v>
      </c>
    </row>
    <row r="177" spans="1:14" x14ac:dyDescent="0.35">
      <c r="A177" s="16"/>
      <c r="B177" s="16"/>
      <c r="C177" s="17">
        <v>44434.413495370369</v>
      </c>
      <c r="D177" s="16" t="s">
        <v>66</v>
      </c>
      <c r="E177" s="16"/>
      <c r="F177" s="16" t="s">
        <v>102</v>
      </c>
      <c r="G177" s="16" t="s">
        <v>25</v>
      </c>
      <c r="H177" s="18">
        <v>0.60617000000002008</v>
      </c>
      <c r="I177" s="19">
        <v>25.498000000000001</v>
      </c>
      <c r="J177" s="19">
        <v>15.456122660000513</v>
      </c>
      <c r="K177" s="19">
        <v>0</v>
      </c>
      <c r="L177" s="16">
        <v>1</v>
      </c>
      <c r="M177" s="18">
        <v>1.0579999999999999E-3</v>
      </c>
      <c r="N177" s="18">
        <v>0.60722800000002009</v>
      </c>
    </row>
    <row r="178" spans="1:14" x14ac:dyDescent="0.35">
      <c r="A178" s="16"/>
      <c r="B178" s="16"/>
      <c r="C178" s="17">
        <v>44435.600347222222</v>
      </c>
      <c r="D178" s="16" t="s">
        <v>66</v>
      </c>
      <c r="E178" s="16"/>
      <c r="F178" s="16" t="s">
        <v>102</v>
      </c>
      <c r="G178" s="16" t="s">
        <v>25</v>
      </c>
      <c r="H178" s="18">
        <v>0.8468300000000113</v>
      </c>
      <c r="I178" s="19">
        <v>25.863</v>
      </c>
      <c r="J178" s="19">
        <v>21.901564290000291</v>
      </c>
      <c r="K178" s="19">
        <v>0</v>
      </c>
      <c r="L178" s="16">
        <v>1</v>
      </c>
      <c r="M178" s="18">
        <v>1.0579999999999999E-3</v>
      </c>
      <c r="N178" s="18">
        <v>0.8478880000000113</v>
      </c>
    </row>
    <row r="179" spans="1:14" x14ac:dyDescent="0.35">
      <c r="A179" s="16"/>
      <c r="B179" s="16"/>
      <c r="C179" s="17">
        <v>44436.450104166666</v>
      </c>
      <c r="D179" s="16" t="s">
        <v>66</v>
      </c>
      <c r="E179" s="16"/>
      <c r="F179" s="16" t="s">
        <v>102</v>
      </c>
      <c r="G179" s="16" t="s">
        <v>25</v>
      </c>
      <c r="H179" s="18">
        <v>0.60899999999998045</v>
      </c>
      <c r="I179" s="19">
        <v>25.385000000000002</v>
      </c>
      <c r="J179" s="19">
        <v>15.459464999999504</v>
      </c>
      <c r="K179" s="19">
        <v>0</v>
      </c>
      <c r="L179" s="16">
        <v>1</v>
      </c>
      <c r="M179" s="18">
        <v>1.0579999999999999E-3</v>
      </c>
      <c r="N179" s="18">
        <v>0.61005799999998045</v>
      </c>
    </row>
    <row r="180" spans="1:14" x14ac:dyDescent="0.35">
      <c r="A180" s="16"/>
      <c r="B180" s="16"/>
      <c r="C180" s="17">
        <v>44437.40824074074</v>
      </c>
      <c r="D180" s="16" t="s">
        <v>66</v>
      </c>
      <c r="E180" s="16"/>
      <c r="F180" s="16" t="s">
        <v>102</v>
      </c>
      <c r="G180" s="16" t="s">
        <v>25</v>
      </c>
      <c r="H180" s="18">
        <v>0.70199999999999818</v>
      </c>
      <c r="I180" s="19">
        <v>25.263000000000002</v>
      </c>
      <c r="J180" s="19">
        <v>17.734625999999956</v>
      </c>
      <c r="K180" s="19">
        <v>0</v>
      </c>
      <c r="L180" s="16">
        <v>1</v>
      </c>
      <c r="M180" s="18">
        <v>1.0579999999999999E-3</v>
      </c>
      <c r="N180" s="18">
        <v>0.70305799999999818</v>
      </c>
    </row>
    <row r="181" spans="1:14" x14ac:dyDescent="0.35">
      <c r="A181" s="16"/>
      <c r="B181" s="16"/>
      <c r="C181" s="17">
        <v>44438.427523148152</v>
      </c>
      <c r="D181" s="16" t="s">
        <v>66</v>
      </c>
      <c r="E181" s="16"/>
      <c r="F181" s="16" t="s">
        <v>102</v>
      </c>
      <c r="G181" s="16" t="s">
        <v>25</v>
      </c>
      <c r="H181" s="18">
        <v>0.73511999999999489</v>
      </c>
      <c r="I181" s="19">
        <v>23.68</v>
      </c>
      <c r="J181" s="19">
        <v>17.407641599999877</v>
      </c>
      <c r="K181" s="19">
        <v>0</v>
      </c>
      <c r="L181" s="16">
        <v>1</v>
      </c>
      <c r="M181" s="18">
        <v>1.0579999999999999E-3</v>
      </c>
      <c r="N181" s="18">
        <v>0.73617799999999489</v>
      </c>
    </row>
    <row r="182" spans="1:14" x14ac:dyDescent="0.35">
      <c r="A182" s="16"/>
      <c r="B182" s="16"/>
      <c r="C182" s="17">
        <v>44439.451365740744</v>
      </c>
      <c r="D182" s="16" t="s">
        <v>66</v>
      </c>
      <c r="E182" s="16"/>
      <c r="F182" s="16" t="s">
        <v>102</v>
      </c>
      <c r="G182" s="16" t="s">
        <v>25</v>
      </c>
      <c r="H182" s="18">
        <v>0.7388599999999883</v>
      </c>
      <c r="I182" s="19">
        <v>23.536000000000001</v>
      </c>
      <c r="J182" s="19">
        <v>17.389808959999726</v>
      </c>
      <c r="K182" s="19">
        <v>0</v>
      </c>
      <c r="L182" s="16">
        <v>1</v>
      </c>
      <c r="M182" s="18">
        <v>1.0579999999999999E-3</v>
      </c>
      <c r="N182" s="18">
        <v>0.73991799999998831</v>
      </c>
    </row>
    <row r="183" spans="1:14" x14ac:dyDescent="0.35">
      <c r="A183" s="16"/>
      <c r="B183" s="16"/>
      <c r="C183" s="17">
        <v>44441.485023148147</v>
      </c>
      <c r="D183" s="16" t="s">
        <v>66</v>
      </c>
      <c r="E183" s="16"/>
      <c r="F183" s="16" t="s">
        <v>102</v>
      </c>
      <c r="G183" s="16" t="s">
        <v>25</v>
      </c>
      <c r="H183" s="18">
        <v>1.4703200000000152</v>
      </c>
      <c r="I183" s="19">
        <v>23.638999999999999</v>
      </c>
      <c r="J183" s="19">
        <v>34.756894480000355</v>
      </c>
      <c r="K183" s="19">
        <v>0</v>
      </c>
      <c r="L183" s="16">
        <v>1</v>
      </c>
      <c r="M183" s="18">
        <v>1.0579999999999999E-3</v>
      </c>
      <c r="N183" s="18">
        <v>1.4713780000000152</v>
      </c>
    </row>
    <row r="184" spans="1:14" x14ac:dyDescent="0.35">
      <c r="A184" s="16"/>
      <c r="B184" s="16"/>
      <c r="C184" s="17">
        <v>44442.401990740742</v>
      </c>
      <c r="D184" s="16" t="s">
        <v>66</v>
      </c>
      <c r="E184" s="16"/>
      <c r="F184" s="16" t="s">
        <v>102</v>
      </c>
      <c r="G184" s="16" t="s">
        <v>25</v>
      </c>
      <c r="H184" s="18">
        <v>0.65969999999998663</v>
      </c>
      <c r="I184" s="19">
        <v>23.715</v>
      </c>
      <c r="J184" s="19">
        <v>15.644785499999683</v>
      </c>
      <c r="K184" s="19">
        <v>0</v>
      </c>
      <c r="L184" s="16">
        <v>1</v>
      </c>
      <c r="M184" s="18">
        <v>1.0579999999999999E-3</v>
      </c>
      <c r="N184" s="18">
        <v>0.66075799999998663</v>
      </c>
    </row>
    <row r="185" spans="1:14" x14ac:dyDescent="0.35">
      <c r="A185" s="16"/>
      <c r="B185" s="16"/>
      <c r="C185" s="17">
        <v>44443.779988425929</v>
      </c>
      <c r="D185" s="16" t="s">
        <v>66</v>
      </c>
      <c r="E185" s="16"/>
      <c r="F185" s="16" t="s">
        <v>102</v>
      </c>
      <c r="G185" s="16" t="s">
        <v>25</v>
      </c>
      <c r="H185" s="18">
        <v>0.99799999999999045</v>
      </c>
      <c r="I185" s="19">
        <v>24.202000000000002</v>
      </c>
      <c r="J185" s="19">
        <v>24.153595999999769</v>
      </c>
      <c r="K185" s="19">
        <v>0</v>
      </c>
      <c r="L185" s="16">
        <v>1</v>
      </c>
      <c r="M185" s="18">
        <v>1.0579999999999999E-3</v>
      </c>
      <c r="N185" s="18">
        <v>0.99905799999999045</v>
      </c>
    </row>
    <row r="186" spans="1:14" x14ac:dyDescent="0.35">
      <c r="A186" s="16"/>
      <c r="B186" s="16"/>
      <c r="C186" s="17">
        <v>44444.791284722225</v>
      </c>
      <c r="D186" s="16" t="s">
        <v>66</v>
      </c>
      <c r="E186" s="16"/>
      <c r="F186" s="16" t="s">
        <v>102</v>
      </c>
      <c r="G186" s="16" t="s">
        <v>25</v>
      </c>
      <c r="H186" s="18">
        <v>0.73400000000003729</v>
      </c>
      <c r="I186" s="19">
        <v>24.984000000000002</v>
      </c>
      <c r="J186" s="19">
        <v>18.338256000000932</v>
      </c>
      <c r="K186" s="19">
        <v>0</v>
      </c>
      <c r="L186" s="16">
        <v>1</v>
      </c>
      <c r="M186" s="18">
        <v>1.0579999999999999E-3</v>
      </c>
      <c r="N186" s="18">
        <v>0.73505800000003729</v>
      </c>
    </row>
    <row r="187" spans="1:14" x14ac:dyDescent="0.35">
      <c r="A187" s="16"/>
      <c r="B187" s="16"/>
      <c r="C187" s="17">
        <v>44446.511736111112</v>
      </c>
      <c r="D187" s="16" t="s">
        <v>66</v>
      </c>
      <c r="E187" s="16"/>
      <c r="F187" s="16" t="s">
        <v>102</v>
      </c>
      <c r="G187" s="16" t="s">
        <v>25</v>
      </c>
      <c r="H187" s="18">
        <v>1.2353899999999953</v>
      </c>
      <c r="I187" s="19">
        <v>21.338000000000001</v>
      </c>
      <c r="J187" s="19">
        <v>26.360751819999901</v>
      </c>
      <c r="K187" s="19">
        <v>0</v>
      </c>
      <c r="L187" s="16">
        <v>1</v>
      </c>
      <c r="M187" s="18">
        <v>1.0579999999999999E-3</v>
      </c>
      <c r="N187" s="18">
        <v>1.2364479999999953</v>
      </c>
    </row>
    <row r="188" spans="1:14" x14ac:dyDescent="0.35">
      <c r="A188" s="16"/>
      <c r="B188" s="16"/>
      <c r="C188" s="17">
        <v>44447.525069444448</v>
      </c>
      <c r="D188" s="16" t="s">
        <v>66</v>
      </c>
      <c r="E188" s="16"/>
      <c r="F188" s="16" t="s">
        <v>102</v>
      </c>
      <c r="G188" s="16" t="s">
        <v>25</v>
      </c>
      <c r="H188" s="18">
        <v>0.72861000000000331</v>
      </c>
      <c r="I188" s="19">
        <v>20.013000000000002</v>
      </c>
      <c r="J188" s="19">
        <v>14.581671930000068</v>
      </c>
      <c r="K188" s="19">
        <v>0</v>
      </c>
      <c r="L188" s="16">
        <v>1</v>
      </c>
      <c r="M188" s="18">
        <v>1.0579999999999999E-3</v>
      </c>
      <c r="N188" s="18">
        <v>0.72966800000000331</v>
      </c>
    </row>
    <row r="189" spans="1:14" x14ac:dyDescent="0.35">
      <c r="A189" s="16"/>
      <c r="B189" s="16"/>
      <c r="C189" s="17">
        <v>44448.488611111112</v>
      </c>
      <c r="D189" s="16" t="s">
        <v>66</v>
      </c>
      <c r="E189" s="16"/>
      <c r="F189" s="16" t="s">
        <v>102</v>
      </c>
      <c r="G189" s="16" t="s">
        <v>25</v>
      </c>
      <c r="H189" s="18">
        <v>0.69299999999998363</v>
      </c>
      <c r="I189" s="19">
        <v>20.271999999999998</v>
      </c>
      <c r="J189" s="19">
        <v>14.048495999999668</v>
      </c>
      <c r="K189" s="19">
        <v>0</v>
      </c>
      <c r="L189" s="16">
        <v>1</v>
      </c>
      <c r="M189" s="18">
        <v>1.0579999999999999E-3</v>
      </c>
      <c r="N189" s="18">
        <v>0.69405799999998363</v>
      </c>
    </row>
    <row r="190" spans="1:14" x14ac:dyDescent="0.35">
      <c r="A190" s="16"/>
      <c r="B190" s="16"/>
      <c r="C190" s="17">
        <v>44449.515324074076</v>
      </c>
      <c r="D190" s="16" t="s">
        <v>66</v>
      </c>
      <c r="E190" s="16"/>
      <c r="F190" s="16" t="s">
        <v>102</v>
      </c>
      <c r="G190" s="16" t="s">
        <v>25</v>
      </c>
      <c r="H190" s="18">
        <v>0.73980000000000246</v>
      </c>
      <c r="I190" s="19">
        <v>19.568999999999999</v>
      </c>
      <c r="J190" s="19">
        <v>14.477146200000048</v>
      </c>
      <c r="K190" s="19">
        <v>0</v>
      </c>
      <c r="L190" s="16">
        <v>1</v>
      </c>
      <c r="M190" s="18">
        <v>1.0579999999999999E-3</v>
      </c>
      <c r="N190" s="18">
        <v>0.74085800000000246</v>
      </c>
    </row>
    <row r="191" spans="1:14" x14ac:dyDescent="0.35">
      <c r="A191" s="16"/>
      <c r="B191" s="16"/>
      <c r="C191" s="17">
        <v>44450.408958333333</v>
      </c>
      <c r="D191" s="16" t="s">
        <v>66</v>
      </c>
      <c r="E191" s="16"/>
      <c r="F191" s="16" t="s">
        <v>102</v>
      </c>
      <c r="G191" s="16" t="s">
        <v>25</v>
      </c>
      <c r="H191" s="18">
        <v>0.640199999999993</v>
      </c>
      <c r="I191" s="19">
        <v>19.873999999999999</v>
      </c>
      <c r="J191" s="19">
        <v>12.72333479999986</v>
      </c>
      <c r="K191" s="19">
        <v>0</v>
      </c>
      <c r="L191" s="16">
        <v>1</v>
      </c>
      <c r="M191" s="18">
        <v>1.0579999999999999E-3</v>
      </c>
      <c r="N191" s="18">
        <v>0.641257999999993</v>
      </c>
    </row>
    <row r="192" spans="1:14" x14ac:dyDescent="0.35">
      <c r="A192" s="16"/>
      <c r="B192" s="16"/>
      <c r="C192" s="17">
        <v>44451.574178240742</v>
      </c>
      <c r="D192" s="16" t="s">
        <v>66</v>
      </c>
      <c r="E192" s="16"/>
      <c r="F192" s="16" t="s">
        <v>102</v>
      </c>
      <c r="G192" s="16" t="s">
        <v>25</v>
      </c>
      <c r="H192" s="18">
        <v>1.0330000000000155</v>
      </c>
      <c r="I192" s="19">
        <v>20.463000000000001</v>
      </c>
      <c r="J192" s="19">
        <v>21.138279000000317</v>
      </c>
      <c r="K192" s="19">
        <v>0</v>
      </c>
      <c r="L192" s="16">
        <v>1</v>
      </c>
      <c r="M192" s="18">
        <v>1.0579999999999999E-3</v>
      </c>
      <c r="N192" s="18">
        <v>1.0340580000000155</v>
      </c>
    </row>
    <row r="193" spans="1:14" x14ac:dyDescent="0.35">
      <c r="A193" s="16"/>
      <c r="B193" s="16"/>
      <c r="C193" s="17">
        <v>44453.363518518519</v>
      </c>
      <c r="D193" s="16" t="s">
        <v>66</v>
      </c>
      <c r="E193" s="16"/>
      <c r="F193" s="16" t="s">
        <v>102</v>
      </c>
      <c r="G193" s="16" t="s">
        <v>25</v>
      </c>
      <c r="H193" s="18">
        <v>1.0960000000000036</v>
      </c>
      <c r="I193" s="19">
        <v>19.751000000000001</v>
      </c>
      <c r="J193" s="19">
        <v>21.647096000000072</v>
      </c>
      <c r="K193" s="19">
        <v>0</v>
      </c>
      <c r="L193" s="16">
        <v>1</v>
      </c>
      <c r="M193" s="18">
        <v>1.0579999999999999E-3</v>
      </c>
      <c r="N193" s="18">
        <v>1.0970580000000036</v>
      </c>
    </row>
    <row r="194" spans="1:14" x14ac:dyDescent="0.35">
      <c r="A194" s="16"/>
      <c r="B194" s="16"/>
      <c r="C194" s="17">
        <v>44453.998796296299</v>
      </c>
      <c r="D194" s="16" t="s">
        <v>66</v>
      </c>
      <c r="E194" s="16"/>
      <c r="F194" s="16" t="s">
        <v>102</v>
      </c>
      <c r="G194" s="16" t="s">
        <v>25</v>
      </c>
      <c r="H194" s="18">
        <v>0.45400000000000773</v>
      </c>
      <c r="I194" s="19">
        <v>21.024999999999999</v>
      </c>
      <c r="J194" s="19">
        <v>9.5453500000001625</v>
      </c>
      <c r="K194" s="19">
        <v>0</v>
      </c>
      <c r="L194" s="16">
        <v>1</v>
      </c>
      <c r="M194" s="18">
        <v>1.0579999999999999E-3</v>
      </c>
      <c r="N194" s="18">
        <v>0.45505800000000773</v>
      </c>
    </row>
    <row r="195" spans="1:14" x14ac:dyDescent="0.35">
      <c r="A195" s="16"/>
      <c r="B195" s="16"/>
      <c r="C195" s="17">
        <v>44455.40347222222</v>
      </c>
      <c r="D195" s="16" t="s">
        <v>66</v>
      </c>
      <c r="E195" s="16"/>
      <c r="F195" s="16" t="s">
        <v>102</v>
      </c>
      <c r="G195" s="16" t="s">
        <v>25</v>
      </c>
      <c r="H195" s="18">
        <v>1.0036999999999807</v>
      </c>
      <c r="I195" s="19">
        <v>22.972999999999999</v>
      </c>
      <c r="J195" s="19">
        <v>23.058000099999557</v>
      </c>
      <c r="K195" s="19">
        <v>0</v>
      </c>
      <c r="L195" s="16">
        <v>1</v>
      </c>
      <c r="M195" s="18">
        <v>1.0579999999999999E-3</v>
      </c>
      <c r="N195" s="18">
        <v>1.0047579999999807</v>
      </c>
    </row>
    <row r="196" spans="1:14" x14ac:dyDescent="0.35">
      <c r="A196" s="16"/>
      <c r="B196" s="16"/>
      <c r="C196" s="17">
        <v>44456.601655092592</v>
      </c>
      <c r="D196" s="16" t="s">
        <v>66</v>
      </c>
      <c r="E196" s="16"/>
      <c r="F196" s="16" t="s">
        <v>102</v>
      </c>
      <c r="G196" s="16" t="s">
        <v>25</v>
      </c>
      <c r="H196" s="18">
        <v>0.84629999999998518</v>
      </c>
      <c r="I196" s="19">
        <v>21.422000000000001</v>
      </c>
      <c r="J196" s="19">
        <v>18.129438599999684</v>
      </c>
      <c r="K196" s="19">
        <v>0</v>
      </c>
      <c r="L196" s="16">
        <v>1</v>
      </c>
      <c r="M196" s="18">
        <v>1.0579999999999999E-3</v>
      </c>
      <c r="N196" s="18">
        <v>0.84735799999998518</v>
      </c>
    </row>
    <row r="197" spans="1:14" x14ac:dyDescent="0.35">
      <c r="A197" s="16"/>
      <c r="B197" s="16"/>
      <c r="C197" s="17">
        <v>44458.403101851851</v>
      </c>
      <c r="D197" s="16" t="s">
        <v>66</v>
      </c>
      <c r="E197" s="16"/>
      <c r="F197" s="16" t="s">
        <v>102</v>
      </c>
      <c r="G197" s="16" t="s">
        <v>25</v>
      </c>
      <c r="H197" s="18">
        <v>1.2970000000000255</v>
      </c>
      <c r="I197" s="19">
        <v>22.114999999999998</v>
      </c>
      <c r="J197" s="19">
        <v>28.683155000000561</v>
      </c>
      <c r="K197" s="19">
        <v>0</v>
      </c>
      <c r="L197" s="16">
        <v>1</v>
      </c>
      <c r="M197" s="18">
        <v>1.0579999999999999E-3</v>
      </c>
      <c r="N197" s="18">
        <v>1.2980580000000255</v>
      </c>
    </row>
    <row r="198" spans="1:14" x14ac:dyDescent="0.35">
      <c r="A198" s="16"/>
      <c r="B198" s="16"/>
      <c r="C198" s="17">
        <v>44459.64634259259</v>
      </c>
      <c r="D198" s="16" t="s">
        <v>66</v>
      </c>
      <c r="E198" s="16"/>
      <c r="F198" s="16" t="s">
        <v>102</v>
      </c>
      <c r="G198" s="16" t="s">
        <v>25</v>
      </c>
      <c r="H198" s="18">
        <v>0.8669999999999618</v>
      </c>
      <c r="I198" s="19">
        <v>18.975000000000001</v>
      </c>
      <c r="J198" s="19">
        <v>16.451324999999276</v>
      </c>
      <c r="K198" s="19">
        <v>0</v>
      </c>
      <c r="L198" s="16">
        <v>1</v>
      </c>
      <c r="M198" s="18">
        <v>1.0579999999999999E-3</v>
      </c>
      <c r="N198" s="18">
        <v>0.8680579999999618</v>
      </c>
    </row>
    <row r="199" spans="1:14" x14ac:dyDescent="0.35">
      <c r="A199" s="16"/>
      <c r="B199" s="16"/>
      <c r="C199" s="17">
        <v>44460.552604166667</v>
      </c>
      <c r="D199" s="16" t="s">
        <v>66</v>
      </c>
      <c r="E199" s="16"/>
      <c r="F199" s="16" t="s">
        <v>102</v>
      </c>
      <c r="G199" s="16" t="s">
        <v>25</v>
      </c>
      <c r="H199" s="18">
        <v>0.64900000000000091</v>
      </c>
      <c r="I199" s="19">
        <v>19.053999999999998</v>
      </c>
      <c r="J199" s="19">
        <v>12.366046000000017</v>
      </c>
      <c r="K199" s="19">
        <v>0</v>
      </c>
      <c r="L199" s="16">
        <v>1</v>
      </c>
      <c r="M199" s="18">
        <v>1.0579999999999999E-3</v>
      </c>
      <c r="N199" s="18">
        <v>0.65005800000000091</v>
      </c>
    </row>
    <row r="200" spans="1:14" x14ac:dyDescent="0.35">
      <c r="A200" s="16"/>
      <c r="B200" s="16"/>
      <c r="C200" s="17">
        <v>44462.558842592596</v>
      </c>
      <c r="D200" s="16" t="s">
        <v>66</v>
      </c>
      <c r="E200" s="16"/>
      <c r="F200" s="16" t="s">
        <v>102</v>
      </c>
      <c r="G200" s="16" t="s">
        <v>25</v>
      </c>
      <c r="H200" s="18">
        <v>1.4020000000000437</v>
      </c>
      <c r="I200" s="19">
        <v>20.13</v>
      </c>
      <c r="J200" s="19">
        <v>28.222260000000876</v>
      </c>
      <c r="K200" s="19">
        <v>0</v>
      </c>
      <c r="L200" s="16">
        <v>1</v>
      </c>
      <c r="M200" s="18">
        <v>1.0579999999999999E-3</v>
      </c>
      <c r="N200" s="18">
        <v>1.4030580000000437</v>
      </c>
    </row>
    <row r="201" spans="1:14" x14ac:dyDescent="0.35">
      <c r="A201" s="16"/>
      <c r="B201" s="16"/>
      <c r="C201" s="17">
        <v>44464.780439814815</v>
      </c>
      <c r="D201" s="16" t="s">
        <v>66</v>
      </c>
      <c r="E201" s="16"/>
      <c r="F201" s="16" t="s">
        <v>102</v>
      </c>
      <c r="G201" s="16" t="s">
        <v>25</v>
      </c>
      <c r="H201" s="18">
        <v>1.5449999999999591</v>
      </c>
      <c r="I201" s="19">
        <v>18.512</v>
      </c>
      <c r="J201" s="19">
        <v>28.601039999999244</v>
      </c>
      <c r="K201" s="19">
        <v>0</v>
      </c>
      <c r="L201" s="16">
        <v>1</v>
      </c>
      <c r="M201" s="18">
        <v>1.0579999999999999E-3</v>
      </c>
      <c r="N201" s="18">
        <v>1.5460579999999591</v>
      </c>
    </row>
    <row r="202" spans="1:14" x14ac:dyDescent="0.35">
      <c r="A202" s="16"/>
      <c r="B202" s="16"/>
      <c r="C202" s="17">
        <v>44465.635462962964</v>
      </c>
      <c r="D202" s="16" t="s">
        <v>66</v>
      </c>
      <c r="E202" s="16"/>
      <c r="F202" s="16" t="s">
        <v>102</v>
      </c>
      <c r="G202" s="16" t="s">
        <v>25</v>
      </c>
      <c r="H202" s="18">
        <v>0.58000000000004093</v>
      </c>
      <c r="I202" s="19">
        <v>19.029</v>
      </c>
      <c r="J202" s="19">
        <v>11.036820000000779</v>
      </c>
      <c r="K202" s="19">
        <v>0</v>
      </c>
      <c r="L202" s="16">
        <v>1</v>
      </c>
      <c r="M202" s="18">
        <v>1.0579999999999999E-3</v>
      </c>
      <c r="N202" s="18">
        <v>0.58105800000004093</v>
      </c>
    </row>
    <row r="203" spans="1:14" x14ac:dyDescent="0.35">
      <c r="A203" s="16"/>
      <c r="B203" s="16"/>
      <c r="C203" s="17">
        <v>44467.5312962963</v>
      </c>
      <c r="D203" s="16" t="s">
        <v>66</v>
      </c>
      <c r="E203" s="16"/>
      <c r="F203" s="16" t="s">
        <v>102</v>
      </c>
      <c r="G203" s="16" t="s">
        <v>25</v>
      </c>
      <c r="H203" s="18">
        <v>1.2899999999999636</v>
      </c>
      <c r="I203" s="19">
        <v>18.385000000000002</v>
      </c>
      <c r="J203" s="19">
        <v>23.716649999999333</v>
      </c>
      <c r="K203" s="19">
        <v>0</v>
      </c>
      <c r="L203" s="16">
        <v>1</v>
      </c>
      <c r="M203" s="18">
        <v>1.0579999999999999E-3</v>
      </c>
      <c r="N203" s="18">
        <v>1.2910579999999636</v>
      </c>
    </row>
    <row r="204" spans="1:14" x14ac:dyDescent="0.35">
      <c r="A204" s="16"/>
      <c r="B204" s="16"/>
      <c r="C204" s="17">
        <v>44469.699236111112</v>
      </c>
      <c r="D204" s="16" t="s">
        <v>66</v>
      </c>
      <c r="E204" s="16"/>
      <c r="F204" s="16" t="s">
        <v>102</v>
      </c>
      <c r="G204" s="16" t="s">
        <v>25</v>
      </c>
      <c r="H204" s="18">
        <v>1.4600000000000364</v>
      </c>
      <c r="I204" s="19">
        <v>18.609000000000002</v>
      </c>
      <c r="J204" s="19">
        <v>27.169140000000681</v>
      </c>
      <c r="K204" s="19">
        <v>0</v>
      </c>
      <c r="L204" s="16">
        <v>1</v>
      </c>
      <c r="M204" s="18">
        <v>1.0579999999999999E-3</v>
      </c>
      <c r="N204" s="18">
        <v>1.4610580000000364</v>
      </c>
    </row>
    <row r="205" spans="1:14" x14ac:dyDescent="0.35">
      <c r="A205" s="16"/>
      <c r="B205" s="16"/>
      <c r="C205" s="17">
        <v>44470.606724537036</v>
      </c>
      <c r="D205" s="16" t="s">
        <v>66</v>
      </c>
      <c r="E205" s="16"/>
      <c r="F205" s="16" t="s">
        <v>102</v>
      </c>
      <c r="G205" s="16" t="s">
        <v>25</v>
      </c>
      <c r="H205" s="18">
        <v>0.59999999999996589</v>
      </c>
      <c r="I205" s="19">
        <v>19.838999999999999</v>
      </c>
      <c r="J205" s="19">
        <v>11.903399999999323</v>
      </c>
      <c r="K205" s="19">
        <v>0</v>
      </c>
      <c r="L205" s="16">
        <v>1</v>
      </c>
      <c r="M205" s="18">
        <v>1.0579999999999999E-3</v>
      </c>
      <c r="N205" s="18">
        <v>0.6010579999999659</v>
      </c>
    </row>
    <row r="206" spans="1:14" x14ac:dyDescent="0.35">
      <c r="A206" s="16"/>
      <c r="B206" s="16"/>
      <c r="C206" s="17">
        <v>44473.85732638889</v>
      </c>
      <c r="D206" s="16" t="s">
        <v>66</v>
      </c>
      <c r="E206" s="16"/>
      <c r="F206" s="16" t="s">
        <v>102</v>
      </c>
      <c r="G206" s="16" t="s">
        <v>25</v>
      </c>
      <c r="H206" s="18">
        <v>2.1400000000000432</v>
      </c>
      <c r="I206" s="19">
        <v>19.305</v>
      </c>
      <c r="J206" s="19">
        <v>41.312700000000831</v>
      </c>
      <c r="K206" s="19">
        <v>0</v>
      </c>
      <c r="L206" s="16">
        <v>1</v>
      </c>
      <c r="M206" s="18">
        <v>1.0579999999999999E-3</v>
      </c>
      <c r="N206" s="18">
        <v>2.1410580000000432</v>
      </c>
    </row>
    <row r="207" spans="1:14" x14ac:dyDescent="0.35">
      <c r="A207" s="16"/>
      <c r="B207" s="16"/>
      <c r="C207" s="17">
        <v>44478.706388888888</v>
      </c>
      <c r="D207" s="16" t="s">
        <v>66</v>
      </c>
      <c r="E207" s="16"/>
      <c r="F207" s="16" t="s">
        <v>102</v>
      </c>
      <c r="G207" s="16" t="s">
        <v>25</v>
      </c>
      <c r="H207" s="18">
        <v>3.17999999999995</v>
      </c>
      <c r="I207" s="19">
        <v>19.53</v>
      </c>
      <c r="J207" s="19">
        <v>62.10539999999903</v>
      </c>
      <c r="K207" s="19">
        <v>0</v>
      </c>
      <c r="L207" s="16">
        <v>1</v>
      </c>
      <c r="M207" s="18">
        <v>1.0579999999999999E-3</v>
      </c>
      <c r="N207" s="18">
        <v>3.18105799999995</v>
      </c>
    </row>
    <row r="208" spans="1:14" x14ac:dyDescent="0.35">
      <c r="A208" s="16"/>
      <c r="B208" s="16"/>
      <c r="C208" s="17">
        <v>44482.401736111111</v>
      </c>
      <c r="D208" s="16" t="s">
        <v>66</v>
      </c>
      <c r="E208" s="16"/>
      <c r="F208" s="16" t="s">
        <v>102</v>
      </c>
      <c r="G208" s="16" t="s">
        <v>25</v>
      </c>
      <c r="H208" s="18">
        <v>2.6560000000000059</v>
      </c>
      <c r="I208" s="19">
        <v>20.132000000000001</v>
      </c>
      <c r="J208" s="19">
        <v>53.470592000000124</v>
      </c>
      <c r="K208" s="19">
        <v>0</v>
      </c>
      <c r="L208" s="16">
        <v>1</v>
      </c>
      <c r="M208" s="18">
        <v>1.0579999999999999E-3</v>
      </c>
      <c r="N208" s="18">
        <v>2.6570580000000059</v>
      </c>
    </row>
    <row r="209" spans="1:14" x14ac:dyDescent="0.35">
      <c r="A209" s="16"/>
      <c r="B209" s="16"/>
      <c r="C209" s="17">
        <v>44483.553784722222</v>
      </c>
      <c r="D209" s="16" t="s">
        <v>66</v>
      </c>
      <c r="E209" s="16"/>
      <c r="F209" s="16" t="s">
        <v>102</v>
      </c>
      <c r="G209" s="16" t="s">
        <v>25</v>
      </c>
      <c r="H209" s="18">
        <v>0.78399999999999181</v>
      </c>
      <c r="I209" s="19">
        <v>20.030999999999999</v>
      </c>
      <c r="J209" s="19">
        <v>15.704303999999835</v>
      </c>
      <c r="K209" s="19">
        <v>0</v>
      </c>
      <c r="L209" s="16">
        <v>1</v>
      </c>
      <c r="M209" s="18">
        <v>1.0579999999999999E-3</v>
      </c>
      <c r="N209" s="18">
        <v>0.78505799999999182</v>
      </c>
    </row>
    <row r="210" spans="1:14" x14ac:dyDescent="0.35">
      <c r="A210" s="16"/>
      <c r="B210" s="16"/>
      <c r="C210" s="17">
        <v>44484.392638888887</v>
      </c>
      <c r="D210" s="16" t="s">
        <v>66</v>
      </c>
      <c r="E210" s="16"/>
      <c r="F210" s="16" t="s">
        <v>102</v>
      </c>
      <c r="G210" s="16" t="s">
        <v>25</v>
      </c>
      <c r="H210" s="18">
        <v>0.56000000000000227</v>
      </c>
      <c r="I210" s="19">
        <v>19.518000000000001</v>
      </c>
      <c r="J210" s="19">
        <v>10.930080000000045</v>
      </c>
      <c r="K210" s="19">
        <v>0</v>
      </c>
      <c r="L210" s="16">
        <v>1</v>
      </c>
      <c r="M210" s="18">
        <v>1.0579999999999999E-3</v>
      </c>
      <c r="N210" s="18">
        <v>0.56105800000000228</v>
      </c>
    </row>
    <row r="211" spans="1:14" x14ac:dyDescent="0.35">
      <c r="A211" s="16"/>
      <c r="B211" s="16"/>
      <c r="C211" s="17">
        <v>44486.59107638889</v>
      </c>
      <c r="D211" s="16" t="s">
        <v>66</v>
      </c>
      <c r="E211" s="16"/>
      <c r="F211" s="16" t="s">
        <v>102</v>
      </c>
      <c r="G211" s="16" t="s">
        <v>25</v>
      </c>
      <c r="H211" s="18">
        <v>1.5800000000000409</v>
      </c>
      <c r="I211" s="19">
        <v>19.603999999999999</v>
      </c>
      <c r="J211" s="19">
        <v>30.974320000000802</v>
      </c>
      <c r="K211" s="19">
        <v>0</v>
      </c>
      <c r="L211" s="16">
        <v>1</v>
      </c>
      <c r="M211" s="18">
        <v>1.0579999999999999E-3</v>
      </c>
      <c r="N211" s="18">
        <v>1.5810580000000409</v>
      </c>
    </row>
    <row r="212" spans="1:14" x14ac:dyDescent="0.35">
      <c r="A212" s="16"/>
      <c r="B212" s="16"/>
      <c r="C212" s="17">
        <v>44487.722986111112</v>
      </c>
      <c r="D212" s="16" t="s">
        <v>66</v>
      </c>
      <c r="E212" s="16"/>
      <c r="F212" s="16" t="s">
        <v>102</v>
      </c>
      <c r="G212" s="16" t="s">
        <v>25</v>
      </c>
      <c r="H212" s="18">
        <v>0.66699999999997317</v>
      </c>
      <c r="I212" s="19">
        <v>19.766999999999999</v>
      </c>
      <c r="J212" s="19">
        <v>13.18458899999947</v>
      </c>
      <c r="K212" s="19">
        <v>0</v>
      </c>
      <c r="L212" s="16">
        <v>1</v>
      </c>
      <c r="M212" s="18">
        <v>1.0579999999999999E-3</v>
      </c>
      <c r="N212" s="18">
        <v>0.66805799999997317</v>
      </c>
    </row>
    <row r="213" spans="1:14" x14ac:dyDescent="0.35">
      <c r="A213" s="16"/>
      <c r="B213" s="16"/>
      <c r="C213" s="17">
        <v>44488.500914351855</v>
      </c>
      <c r="D213" s="16" t="s">
        <v>66</v>
      </c>
      <c r="E213" s="16"/>
      <c r="F213" s="16" t="s">
        <v>102</v>
      </c>
      <c r="G213" s="16" t="s">
        <v>25</v>
      </c>
      <c r="H213" s="18">
        <v>0.52300000000002456</v>
      </c>
      <c r="I213" s="19">
        <v>19.879000000000001</v>
      </c>
      <c r="J213" s="19">
        <v>10.396717000000489</v>
      </c>
      <c r="K213" s="19">
        <v>0</v>
      </c>
      <c r="L213" s="16">
        <v>1</v>
      </c>
      <c r="M213" s="18">
        <v>1.0579999999999999E-3</v>
      </c>
      <c r="N213" s="18">
        <v>0.52405800000002456</v>
      </c>
    </row>
    <row r="214" spans="1:14" x14ac:dyDescent="0.35">
      <c r="A214" s="16"/>
      <c r="B214" s="16"/>
      <c r="C214" s="17">
        <v>44490.434733796297</v>
      </c>
      <c r="D214" s="16" t="s">
        <v>66</v>
      </c>
      <c r="E214" s="16"/>
      <c r="F214" s="16" t="s">
        <v>102</v>
      </c>
      <c r="G214" s="16" t="s">
        <v>25</v>
      </c>
      <c r="H214" s="18">
        <v>1.2799999999999727</v>
      </c>
      <c r="I214" s="19">
        <v>20.175000000000001</v>
      </c>
      <c r="J214" s="19">
        <v>25.823999999999451</v>
      </c>
      <c r="K214" s="19">
        <v>0</v>
      </c>
      <c r="L214" s="16">
        <v>1</v>
      </c>
      <c r="M214" s="18">
        <v>1.0579999999999999E-3</v>
      </c>
      <c r="N214" s="18">
        <v>1.2810579999999727</v>
      </c>
    </row>
    <row r="215" spans="1:14" x14ac:dyDescent="0.35">
      <c r="A215" s="16"/>
      <c r="B215" s="16"/>
      <c r="C215" s="17">
        <v>44493.680706018517</v>
      </c>
      <c r="D215" s="16" t="s">
        <v>66</v>
      </c>
      <c r="E215" s="16"/>
      <c r="F215" s="16" t="s">
        <v>102</v>
      </c>
      <c r="G215" s="16" t="s">
        <v>25</v>
      </c>
      <c r="H215" s="18">
        <v>2.1999999999999886</v>
      </c>
      <c r="I215" s="19">
        <v>19.504999999999999</v>
      </c>
      <c r="J215" s="19">
        <v>42.910999999999774</v>
      </c>
      <c r="K215" s="19">
        <v>0</v>
      </c>
      <c r="L215" s="16">
        <v>1</v>
      </c>
      <c r="M215" s="18">
        <v>1.0579999999999999E-3</v>
      </c>
      <c r="N215" s="18">
        <v>2.2010579999999886</v>
      </c>
    </row>
    <row r="216" spans="1:14" x14ac:dyDescent="0.35">
      <c r="A216" s="16"/>
      <c r="B216" s="16"/>
      <c r="C216" s="17">
        <v>44494.669351851851</v>
      </c>
      <c r="D216" s="16" t="s">
        <v>66</v>
      </c>
      <c r="E216" s="16"/>
      <c r="F216" s="16" t="s">
        <v>102</v>
      </c>
      <c r="G216" s="16" t="s">
        <v>25</v>
      </c>
      <c r="H216" s="18">
        <v>0.67000000000001592</v>
      </c>
      <c r="I216" s="19">
        <v>19.850999999999999</v>
      </c>
      <c r="J216" s="19">
        <v>13.300170000000316</v>
      </c>
      <c r="K216" s="19">
        <v>0</v>
      </c>
      <c r="L216" s="16">
        <v>1</v>
      </c>
      <c r="M216" s="18">
        <v>1.0579999999999999E-3</v>
      </c>
      <c r="N216" s="18">
        <v>0.67105800000001592</v>
      </c>
    </row>
    <row r="217" spans="1:14" x14ac:dyDescent="0.35">
      <c r="A217" s="16"/>
      <c r="B217" s="16"/>
      <c r="C217" s="17">
        <v>44497.331759259258</v>
      </c>
      <c r="D217" s="16" t="s">
        <v>66</v>
      </c>
      <c r="E217" s="16"/>
      <c r="F217" s="16" t="s">
        <v>102</v>
      </c>
      <c r="G217" s="16" t="s">
        <v>25</v>
      </c>
      <c r="H217" s="18">
        <v>1.8299999999999841</v>
      </c>
      <c r="I217" s="19">
        <v>18.323</v>
      </c>
      <c r="J217" s="19">
        <v>33.531089999999708</v>
      </c>
      <c r="K217" s="19">
        <v>0</v>
      </c>
      <c r="L217" s="16">
        <v>1</v>
      </c>
      <c r="M217" s="18">
        <v>1.0579999999999999E-3</v>
      </c>
      <c r="N217" s="18">
        <v>1.8310579999999841</v>
      </c>
    </row>
    <row r="218" spans="1:14" x14ac:dyDescent="0.35">
      <c r="A218" s="16"/>
      <c r="B218" s="16"/>
      <c r="C218" s="17">
        <v>44499.546597222223</v>
      </c>
      <c r="D218" s="16" t="s">
        <v>66</v>
      </c>
      <c r="E218" s="16"/>
      <c r="F218" s="16" t="s">
        <v>102</v>
      </c>
      <c r="G218" s="16" t="s">
        <v>25</v>
      </c>
      <c r="H218" s="18">
        <v>1.5</v>
      </c>
      <c r="I218" s="19">
        <v>17.88</v>
      </c>
      <c r="J218" s="19">
        <v>26.82</v>
      </c>
      <c r="K218" s="19">
        <v>0</v>
      </c>
      <c r="L218" s="16">
        <v>1</v>
      </c>
      <c r="M218" s="18">
        <v>1.0579999999999999E-3</v>
      </c>
      <c r="N218" s="18">
        <v>1.501058</v>
      </c>
    </row>
    <row r="219" spans="1:14" x14ac:dyDescent="0.35">
      <c r="A219" s="16"/>
      <c r="B219" s="16"/>
      <c r="C219" s="17">
        <v>44500.579039351855</v>
      </c>
      <c r="D219" s="16" t="s">
        <v>66</v>
      </c>
      <c r="E219" s="16"/>
      <c r="F219" s="16" t="s">
        <v>102</v>
      </c>
      <c r="G219" s="16" t="s">
        <v>25</v>
      </c>
      <c r="H219" s="18">
        <v>0.72000000000002728</v>
      </c>
      <c r="I219" s="19">
        <v>17.373999999999999</v>
      </c>
      <c r="J219" s="19">
        <v>12.509280000000473</v>
      </c>
      <c r="K219" s="19">
        <v>0</v>
      </c>
      <c r="L219" s="16">
        <v>1</v>
      </c>
      <c r="M219" s="18">
        <v>1.0579999999999999E-3</v>
      </c>
      <c r="N219" s="18">
        <v>0.72105800000002729</v>
      </c>
    </row>
    <row r="220" spans="1:14" x14ac:dyDescent="0.35">
      <c r="A220" s="16"/>
      <c r="B220" s="16"/>
      <c r="C220" s="17">
        <v>44501.481076388889</v>
      </c>
      <c r="D220" s="16" t="s">
        <v>66</v>
      </c>
      <c r="E220" s="16"/>
      <c r="F220" s="16" t="s">
        <v>102</v>
      </c>
      <c r="G220" s="16" t="s">
        <v>25</v>
      </c>
      <c r="H220" s="18">
        <v>0.60500000000001819</v>
      </c>
      <c r="I220" s="19">
        <v>18.132999999999999</v>
      </c>
      <c r="J220" s="19">
        <v>10.970465000000329</v>
      </c>
      <c r="K220" s="19">
        <v>0</v>
      </c>
      <c r="L220" s="16">
        <v>1</v>
      </c>
      <c r="M220" s="18">
        <v>1.0579999999999999E-3</v>
      </c>
      <c r="N220" s="18">
        <v>0.60605800000001819</v>
      </c>
    </row>
    <row r="221" spans="1:14" x14ac:dyDescent="0.35">
      <c r="A221" s="16"/>
      <c r="B221" s="16"/>
      <c r="C221" s="17">
        <v>44504.550532407404</v>
      </c>
      <c r="D221" s="16" t="s">
        <v>66</v>
      </c>
      <c r="E221" s="16"/>
      <c r="F221" s="16" t="s">
        <v>102</v>
      </c>
      <c r="G221" s="16" t="s">
        <v>25</v>
      </c>
      <c r="H221" s="18">
        <v>2.0449999999999591</v>
      </c>
      <c r="I221" s="19">
        <v>18.689</v>
      </c>
      <c r="J221" s="19">
        <v>38.219004999999235</v>
      </c>
      <c r="K221" s="19">
        <v>0</v>
      </c>
      <c r="L221" s="16">
        <v>1</v>
      </c>
      <c r="M221" s="18">
        <v>1.0579999999999999E-3</v>
      </c>
      <c r="N221" s="18">
        <v>2.0460579999999591</v>
      </c>
    </row>
    <row r="222" spans="1:14" x14ac:dyDescent="0.35">
      <c r="A222" s="16"/>
      <c r="B222" s="16"/>
      <c r="C222" s="17">
        <v>44505.590532407405</v>
      </c>
      <c r="D222" s="16" t="s">
        <v>66</v>
      </c>
      <c r="E222" s="16"/>
      <c r="F222" s="16" t="s">
        <v>102</v>
      </c>
      <c r="G222" s="16" t="s">
        <v>25</v>
      </c>
      <c r="H222" s="18">
        <v>0.71000000000003638</v>
      </c>
      <c r="I222" s="19">
        <v>19.593</v>
      </c>
      <c r="J222" s="19">
        <v>13.911030000000713</v>
      </c>
      <c r="K222" s="19">
        <v>0</v>
      </c>
      <c r="L222" s="16">
        <v>1</v>
      </c>
      <c r="M222" s="18">
        <v>1.0579999999999999E-3</v>
      </c>
      <c r="N222" s="18">
        <v>0.71105800000003638</v>
      </c>
    </row>
    <row r="223" spans="1:14" x14ac:dyDescent="0.35">
      <c r="A223" s="16"/>
      <c r="B223" s="16"/>
      <c r="C223" s="17">
        <v>44506.579652777778</v>
      </c>
      <c r="D223" s="16" t="s">
        <v>66</v>
      </c>
      <c r="E223" s="16"/>
      <c r="F223" s="16" t="s">
        <v>102</v>
      </c>
      <c r="G223" s="16" t="s">
        <v>25</v>
      </c>
      <c r="H223" s="18">
        <v>0.66999999999995907</v>
      </c>
      <c r="I223" s="19">
        <v>18.785</v>
      </c>
      <c r="J223" s="19">
        <v>12.585949999999231</v>
      </c>
      <c r="K223" s="19">
        <v>0</v>
      </c>
      <c r="L223" s="16">
        <v>1</v>
      </c>
      <c r="M223" s="18">
        <v>1.0579999999999999E-3</v>
      </c>
      <c r="N223" s="18">
        <v>0.67105799999995908</v>
      </c>
    </row>
    <row r="224" spans="1:14" x14ac:dyDescent="0.35">
      <c r="A224" s="16"/>
      <c r="B224" s="16"/>
      <c r="C224" s="17">
        <v>44507.497476851851</v>
      </c>
      <c r="D224" s="16" t="s">
        <v>66</v>
      </c>
      <c r="E224" s="16"/>
      <c r="F224" s="16" t="s">
        <v>102</v>
      </c>
      <c r="G224" s="16" t="s">
        <v>25</v>
      </c>
      <c r="H224" s="18">
        <v>0.67300000000000182</v>
      </c>
      <c r="I224" s="19">
        <v>20.309999999999999</v>
      </c>
      <c r="J224" s="19">
        <v>13.668630000000036</v>
      </c>
      <c r="K224" s="19">
        <v>0</v>
      </c>
      <c r="L224" s="16">
        <v>1</v>
      </c>
      <c r="M224" s="18">
        <v>1.0579999999999999E-3</v>
      </c>
      <c r="N224" s="18">
        <v>0.67405800000000182</v>
      </c>
    </row>
    <row r="225" spans="1:14" x14ac:dyDescent="0.35">
      <c r="A225" s="16"/>
      <c r="B225" s="16"/>
      <c r="C225" s="17">
        <v>44508.867256944446</v>
      </c>
      <c r="D225" s="16" t="s">
        <v>66</v>
      </c>
      <c r="E225" s="16"/>
      <c r="F225" s="16" t="s">
        <v>102</v>
      </c>
      <c r="G225" s="16" t="s">
        <v>25</v>
      </c>
      <c r="H225" s="18">
        <v>0.93700000000001182</v>
      </c>
      <c r="I225" s="19">
        <v>20.024999999999999</v>
      </c>
      <c r="J225" s="19">
        <v>18.763425000000236</v>
      </c>
      <c r="K225" s="19">
        <v>0</v>
      </c>
      <c r="L225" s="16">
        <v>1</v>
      </c>
      <c r="M225" s="18">
        <v>1.0579999999999999E-3</v>
      </c>
      <c r="N225" s="18">
        <v>0.93805800000001183</v>
      </c>
    </row>
    <row r="226" spans="1:14" x14ac:dyDescent="0.35">
      <c r="A226" s="16"/>
      <c r="B226" s="16"/>
      <c r="C226" s="17">
        <v>44509.784259259257</v>
      </c>
      <c r="D226" s="16" t="s">
        <v>66</v>
      </c>
      <c r="E226" s="16"/>
      <c r="F226" s="16" t="s">
        <v>102</v>
      </c>
      <c r="G226" s="16" t="s">
        <v>25</v>
      </c>
      <c r="H226" s="18">
        <v>0.62999999999999545</v>
      </c>
      <c r="I226" s="19">
        <v>19.748000000000001</v>
      </c>
      <c r="J226" s="19">
        <v>12.441239999999912</v>
      </c>
      <c r="K226" s="19">
        <v>0</v>
      </c>
      <c r="L226" s="16">
        <v>1</v>
      </c>
      <c r="M226" s="18">
        <v>1.0579999999999999E-3</v>
      </c>
      <c r="N226" s="18">
        <v>0.63105799999999546</v>
      </c>
    </row>
    <row r="227" spans="1:14" x14ac:dyDescent="0.35">
      <c r="A227" s="16"/>
      <c r="B227" s="16"/>
      <c r="C227" s="17">
        <v>44511.590486111112</v>
      </c>
      <c r="D227" s="16" t="s">
        <v>66</v>
      </c>
      <c r="E227" s="16"/>
      <c r="F227" s="16" t="s">
        <v>102</v>
      </c>
      <c r="G227" s="16" t="s">
        <v>25</v>
      </c>
      <c r="H227" s="18">
        <v>1.2100000000000364</v>
      </c>
      <c r="I227" s="19">
        <v>18.890999999999998</v>
      </c>
      <c r="J227" s="19">
        <v>22.858110000000686</v>
      </c>
      <c r="K227" s="19">
        <v>0</v>
      </c>
      <c r="L227" s="16">
        <v>1</v>
      </c>
      <c r="M227" s="18">
        <v>1.0579999999999999E-3</v>
      </c>
      <c r="N227" s="18">
        <v>1.2110580000000364</v>
      </c>
    </row>
    <row r="228" spans="1:14" x14ac:dyDescent="0.35">
      <c r="A228" s="16"/>
      <c r="B228" s="16"/>
      <c r="C228" s="17">
        <v>44512.699745370373</v>
      </c>
      <c r="D228" s="16" t="s">
        <v>66</v>
      </c>
      <c r="E228" s="16"/>
      <c r="F228" s="16" t="s">
        <v>102</v>
      </c>
      <c r="G228" s="16" t="s">
        <v>25</v>
      </c>
      <c r="H228" s="18">
        <v>0.74500000000000455</v>
      </c>
      <c r="I228" s="19">
        <v>18.367999999999999</v>
      </c>
      <c r="J228" s="19">
        <v>13.684160000000082</v>
      </c>
      <c r="K228" s="19">
        <v>0</v>
      </c>
      <c r="L228" s="16">
        <v>1</v>
      </c>
      <c r="M228" s="18">
        <v>1.0579999999999999E-3</v>
      </c>
      <c r="N228" s="18">
        <v>0.74605800000000455</v>
      </c>
    </row>
    <row r="229" spans="1:14" x14ac:dyDescent="0.35">
      <c r="A229" s="16"/>
      <c r="B229" s="16"/>
      <c r="C229" s="17">
        <v>44513.646620370368</v>
      </c>
      <c r="D229" s="16" t="s">
        <v>66</v>
      </c>
      <c r="E229" s="16"/>
      <c r="F229" s="16" t="s">
        <v>102</v>
      </c>
      <c r="G229" s="16" t="s">
        <v>25</v>
      </c>
      <c r="H229" s="18">
        <v>0.63499999999999091</v>
      </c>
      <c r="I229" s="19">
        <v>18.477</v>
      </c>
      <c r="J229" s="19">
        <v>11.732894999999832</v>
      </c>
      <c r="K229" s="19">
        <v>0</v>
      </c>
      <c r="L229" s="16">
        <v>1</v>
      </c>
      <c r="M229" s="18">
        <v>1.0579999999999999E-3</v>
      </c>
      <c r="N229" s="18">
        <v>0.63605799999999091</v>
      </c>
    </row>
    <row r="230" spans="1:14" x14ac:dyDescent="0.35">
      <c r="A230" s="16"/>
      <c r="B230" s="16"/>
      <c r="C230" s="17">
        <v>44515.792407407411</v>
      </c>
      <c r="D230" s="16" t="s">
        <v>66</v>
      </c>
      <c r="E230" s="16"/>
      <c r="F230" s="16" t="s">
        <v>102</v>
      </c>
      <c r="G230" s="16" t="s">
        <v>25</v>
      </c>
      <c r="H230" s="18">
        <v>2.0199999999999818</v>
      </c>
      <c r="I230" s="19">
        <v>18.460999999999999</v>
      </c>
      <c r="J230" s="19">
        <v>37.291219999999662</v>
      </c>
      <c r="K230" s="19">
        <v>0</v>
      </c>
      <c r="L230" s="16">
        <v>1</v>
      </c>
      <c r="M230" s="18">
        <v>1.0579999999999999E-3</v>
      </c>
      <c r="N230" s="18">
        <v>2.0210579999999818</v>
      </c>
    </row>
    <row r="231" spans="1:14" x14ac:dyDescent="0.35">
      <c r="A231" s="16"/>
      <c r="B231" s="16"/>
      <c r="C231" s="17">
        <v>44516.622534722221</v>
      </c>
      <c r="D231" s="16" t="s">
        <v>66</v>
      </c>
      <c r="E231" s="16"/>
      <c r="F231" s="16" t="s">
        <v>102</v>
      </c>
      <c r="G231" s="16" t="s">
        <v>25</v>
      </c>
      <c r="H231" s="18">
        <v>0.01</v>
      </c>
      <c r="I231" s="19">
        <v>16.835000000000001</v>
      </c>
      <c r="J231" s="19">
        <v>-0.3366999999996938</v>
      </c>
      <c r="K231" s="19">
        <v>0</v>
      </c>
      <c r="L231" s="16">
        <v>1</v>
      </c>
      <c r="M231" s="18">
        <v>1.0579999999999999E-3</v>
      </c>
      <c r="N231" s="18">
        <v>-1.894199999998181E-2</v>
      </c>
    </row>
    <row r="232" spans="1:14" x14ac:dyDescent="0.35">
      <c r="A232" s="16"/>
      <c r="B232" s="16"/>
      <c r="C232" s="17">
        <v>44517.480949074074</v>
      </c>
      <c r="D232" s="16" t="s">
        <v>66</v>
      </c>
      <c r="E232" s="16"/>
      <c r="F232" s="16" t="s">
        <v>102</v>
      </c>
      <c r="G232" s="16" t="s">
        <v>25</v>
      </c>
      <c r="H232" s="18">
        <v>0.57709999999997308</v>
      </c>
      <c r="I232" s="19">
        <v>16.361999999999998</v>
      </c>
      <c r="J232" s="19">
        <v>9.4425101999995587</v>
      </c>
      <c r="K232" s="19">
        <v>0</v>
      </c>
      <c r="L232" s="16">
        <v>1</v>
      </c>
      <c r="M232" s="18">
        <v>1.0579999999999999E-3</v>
      </c>
      <c r="N232" s="18">
        <v>0.57815799999997308</v>
      </c>
    </row>
    <row r="233" spans="1:14" x14ac:dyDescent="0.35">
      <c r="A233" s="16"/>
      <c r="B233" s="16"/>
      <c r="C233" s="17">
        <v>44518.979907407411</v>
      </c>
      <c r="D233" s="16" t="s">
        <v>66</v>
      </c>
      <c r="E233" s="16"/>
      <c r="F233" s="16" t="s">
        <v>102</v>
      </c>
      <c r="G233" s="16" t="s">
        <v>25</v>
      </c>
      <c r="H233" s="18">
        <v>1.0328999999999837</v>
      </c>
      <c r="I233" s="19">
        <v>14.769</v>
      </c>
      <c r="J233" s="19">
        <v>15.254900099999759</v>
      </c>
      <c r="K233" s="19">
        <v>0</v>
      </c>
      <c r="L233" s="16">
        <v>1</v>
      </c>
      <c r="M233" s="18">
        <v>1.0579999999999999E-3</v>
      </c>
      <c r="N233" s="18">
        <v>1.0339579999999837</v>
      </c>
    </row>
    <row r="234" spans="1:14" x14ac:dyDescent="0.35">
      <c r="A234" s="16"/>
      <c r="B234" s="16"/>
      <c r="C234" s="17">
        <v>44521.805011574077</v>
      </c>
      <c r="D234" s="16" t="s">
        <v>66</v>
      </c>
      <c r="E234" s="16"/>
      <c r="F234" s="16" t="s">
        <v>102</v>
      </c>
      <c r="G234" s="16" t="s">
        <v>25</v>
      </c>
      <c r="H234" s="18">
        <v>1.9830000000000041</v>
      </c>
      <c r="I234" s="19">
        <v>15.012</v>
      </c>
      <c r="J234" s="19">
        <v>29.768796000000062</v>
      </c>
      <c r="K234" s="19">
        <v>0</v>
      </c>
      <c r="L234" s="16">
        <v>1</v>
      </c>
      <c r="M234" s="18">
        <v>1.0579999999999999E-3</v>
      </c>
      <c r="N234" s="18">
        <v>1.9840580000000041</v>
      </c>
    </row>
    <row r="235" spans="1:14" x14ac:dyDescent="0.35">
      <c r="A235" s="16"/>
      <c r="B235" s="16"/>
      <c r="C235" s="17">
        <v>44522.522453703707</v>
      </c>
      <c r="D235" s="16" t="s">
        <v>66</v>
      </c>
      <c r="E235" s="16"/>
      <c r="F235" s="16" t="s">
        <v>102</v>
      </c>
      <c r="G235" s="16" t="s">
        <v>25</v>
      </c>
      <c r="H235" s="18">
        <v>0.51600000000001955</v>
      </c>
      <c r="I235" s="19">
        <v>15.305999999999999</v>
      </c>
      <c r="J235" s="19">
        <v>7.8978960000002987</v>
      </c>
      <c r="K235" s="19">
        <v>0</v>
      </c>
      <c r="L235" s="16">
        <v>1</v>
      </c>
      <c r="M235" s="18">
        <v>1.0579999999999999E-3</v>
      </c>
      <c r="N235" s="18">
        <v>0.51705800000001956</v>
      </c>
    </row>
    <row r="236" spans="1:14" x14ac:dyDescent="0.35">
      <c r="A236" s="16"/>
      <c r="B236" s="16"/>
      <c r="C236" s="17">
        <v>44523.336562500001</v>
      </c>
      <c r="D236" s="16" t="s">
        <v>66</v>
      </c>
      <c r="E236" s="16"/>
      <c r="F236" s="16" t="s">
        <v>102</v>
      </c>
      <c r="G236" s="16" t="s">
        <v>25</v>
      </c>
      <c r="H236" s="18">
        <v>0.58100000000001728</v>
      </c>
      <c r="I236" s="19">
        <v>14.944000000000001</v>
      </c>
      <c r="J236" s="19">
        <v>8.6824640000002589</v>
      </c>
      <c r="K236" s="19">
        <v>0</v>
      </c>
      <c r="L236" s="16">
        <v>1</v>
      </c>
      <c r="M236" s="18">
        <v>1.0579999999999999E-3</v>
      </c>
      <c r="N236" s="18">
        <v>0.58205800000001728</v>
      </c>
    </row>
    <row r="237" spans="1:14" x14ac:dyDescent="0.35">
      <c r="A237" s="16"/>
      <c r="B237" s="16"/>
      <c r="C237" s="17">
        <v>44523.803252314814</v>
      </c>
      <c r="D237" s="16" t="s">
        <v>66</v>
      </c>
      <c r="E237" s="16"/>
      <c r="F237" s="16" t="s">
        <v>102</v>
      </c>
      <c r="G237" s="16" t="s">
        <v>25</v>
      </c>
      <c r="H237" s="18">
        <v>0.32999999999998408</v>
      </c>
      <c r="I237" s="19">
        <v>14.782</v>
      </c>
      <c r="J237" s="19">
        <v>4.8780599999997651</v>
      </c>
      <c r="K237" s="19">
        <v>0</v>
      </c>
      <c r="L237" s="16">
        <v>1</v>
      </c>
      <c r="M237" s="18">
        <v>1.0579999999999999E-3</v>
      </c>
      <c r="N237" s="18">
        <v>0.33105799999998409</v>
      </c>
    </row>
    <row r="238" spans="1:14" x14ac:dyDescent="0.35">
      <c r="A238" s="16"/>
      <c r="B238" s="16"/>
      <c r="C238" s="17">
        <v>44524.559120370373</v>
      </c>
      <c r="D238" s="16" t="s">
        <v>66</v>
      </c>
      <c r="E238" s="16"/>
      <c r="F238" s="16" t="s">
        <v>102</v>
      </c>
      <c r="G238" s="16" t="s">
        <v>25</v>
      </c>
      <c r="H238" s="18">
        <v>0.55200000000002092</v>
      </c>
      <c r="I238" s="19">
        <v>13.76</v>
      </c>
      <c r="J238" s="19">
        <v>7.5955200000002874</v>
      </c>
      <c r="K238" s="19">
        <v>0</v>
      </c>
      <c r="L238" s="16">
        <v>1</v>
      </c>
      <c r="M238" s="18">
        <v>1.0579999999999999E-3</v>
      </c>
      <c r="N238" s="18">
        <v>0.55305800000002092</v>
      </c>
    </row>
    <row r="239" spans="1:14" x14ac:dyDescent="0.35">
      <c r="A239" s="16"/>
      <c r="B239" s="16"/>
      <c r="C239" s="17">
        <v>44525.59815972222</v>
      </c>
      <c r="D239" s="16" t="s">
        <v>66</v>
      </c>
      <c r="E239" s="16"/>
      <c r="F239" s="16" t="s">
        <v>102</v>
      </c>
      <c r="G239" s="16" t="s">
        <v>25</v>
      </c>
      <c r="H239" s="18">
        <v>0.7279999999999518</v>
      </c>
      <c r="I239" s="19">
        <v>14.57</v>
      </c>
      <c r="J239" s="19">
        <v>10.606959999999297</v>
      </c>
      <c r="K239" s="19">
        <v>0</v>
      </c>
      <c r="L239" s="16">
        <v>1</v>
      </c>
      <c r="M239" s="18">
        <v>1.0579999999999999E-3</v>
      </c>
      <c r="N239" s="18">
        <v>0.7290579999999518</v>
      </c>
    </row>
    <row r="240" spans="1:14" x14ac:dyDescent="0.35">
      <c r="A240" s="16"/>
      <c r="B240" s="16"/>
      <c r="C240" s="17">
        <v>44526.47828703704</v>
      </c>
      <c r="D240" s="16" t="s">
        <v>66</v>
      </c>
      <c r="E240" s="16"/>
      <c r="F240" s="16" t="s">
        <v>102</v>
      </c>
      <c r="G240" s="16" t="s">
        <v>25</v>
      </c>
      <c r="H240" s="18">
        <v>0.60000000000002274</v>
      </c>
      <c r="I240" s="19">
        <v>12.87</v>
      </c>
      <c r="J240" s="19">
        <v>7.7220000000002917</v>
      </c>
      <c r="K240" s="19">
        <v>0</v>
      </c>
      <c r="L240" s="16">
        <v>1</v>
      </c>
      <c r="M240" s="18">
        <v>1.0579999999999999E-3</v>
      </c>
      <c r="N240" s="18">
        <v>0.60105800000002274</v>
      </c>
    </row>
    <row r="241" spans="1:14" x14ac:dyDescent="0.35">
      <c r="A241" s="16"/>
      <c r="B241" s="16"/>
      <c r="C241" s="17">
        <v>44527.618483796294</v>
      </c>
      <c r="D241" s="16" t="s">
        <v>66</v>
      </c>
      <c r="E241" s="16"/>
      <c r="F241" s="16" t="s">
        <v>102</v>
      </c>
      <c r="G241" s="16" t="s">
        <v>25</v>
      </c>
      <c r="H241" s="18">
        <v>0.76999999999998181</v>
      </c>
      <c r="I241" s="19">
        <v>13.401999999999999</v>
      </c>
      <c r="J241" s="19">
        <v>10.319539999999755</v>
      </c>
      <c r="K241" s="19">
        <v>0</v>
      </c>
      <c r="L241" s="16">
        <v>1</v>
      </c>
      <c r="M241" s="18">
        <v>1.0579999999999999E-3</v>
      </c>
      <c r="N241" s="18">
        <v>0.77105799999998181</v>
      </c>
    </row>
    <row r="242" spans="1:14" x14ac:dyDescent="0.35">
      <c r="A242" s="16"/>
      <c r="B242" s="16"/>
      <c r="C242" s="17">
        <v>44528.966481481482</v>
      </c>
      <c r="D242" s="16" t="s">
        <v>66</v>
      </c>
      <c r="E242" s="16"/>
      <c r="F242" s="16" t="s">
        <v>102</v>
      </c>
      <c r="G242" s="16" t="s">
        <v>25</v>
      </c>
      <c r="H242" s="18">
        <v>1</v>
      </c>
      <c r="I242" s="19">
        <v>13.542999999999999</v>
      </c>
      <c r="J242" s="19">
        <v>13.542999999999999</v>
      </c>
      <c r="K242" s="19">
        <v>0</v>
      </c>
      <c r="L242" s="16">
        <v>1</v>
      </c>
      <c r="M242" s="18">
        <v>1.0579999999999999E-3</v>
      </c>
      <c r="N242" s="18">
        <v>1.001058</v>
      </c>
    </row>
    <row r="243" spans="1:14" x14ac:dyDescent="0.35">
      <c r="A243" s="16"/>
      <c r="B243" s="16"/>
      <c r="C243" s="17">
        <v>44529.400439814817</v>
      </c>
      <c r="D243" s="16" t="s">
        <v>66</v>
      </c>
      <c r="E243" s="16"/>
      <c r="F243" s="16" t="s">
        <v>102</v>
      </c>
      <c r="G243" s="16" t="s">
        <v>25</v>
      </c>
      <c r="H243" s="18">
        <v>0.29000000000002046</v>
      </c>
      <c r="I243" s="19">
        <v>14.35</v>
      </c>
      <c r="J243" s="19">
        <v>4.1615000000002933</v>
      </c>
      <c r="K243" s="19">
        <v>0</v>
      </c>
      <c r="L243" s="16">
        <v>1</v>
      </c>
      <c r="M243" s="18">
        <v>1.0579999999999999E-3</v>
      </c>
      <c r="N243" s="18">
        <v>0.29105800000002047</v>
      </c>
    </row>
    <row r="244" spans="1:14" x14ac:dyDescent="0.35">
      <c r="A244" s="16"/>
      <c r="B244" s="16"/>
      <c r="C244" s="17">
        <v>44531.308356481481</v>
      </c>
      <c r="D244" s="16" t="s">
        <v>66</v>
      </c>
      <c r="E244" s="16"/>
      <c r="F244" s="16" t="s">
        <v>102</v>
      </c>
      <c r="G244" s="16" t="s">
        <v>25</v>
      </c>
      <c r="H244" s="18">
        <v>1.3500000000000227</v>
      </c>
      <c r="I244" s="19">
        <v>13.629</v>
      </c>
      <c r="J244" s="19">
        <v>18.399150000000308</v>
      </c>
      <c r="K244" s="19">
        <v>0</v>
      </c>
      <c r="L244" s="16">
        <v>1</v>
      </c>
      <c r="M244" s="18">
        <v>1.0579999999999999E-3</v>
      </c>
      <c r="N244" s="18">
        <v>1.3510580000000227</v>
      </c>
    </row>
    <row r="245" spans="1:14" x14ac:dyDescent="0.35">
      <c r="A245" s="16"/>
      <c r="B245" s="16"/>
      <c r="C245" s="17">
        <v>44532.69636574074</v>
      </c>
      <c r="D245" s="16" t="s">
        <v>66</v>
      </c>
      <c r="E245" s="16"/>
      <c r="F245" s="16" t="s">
        <v>102</v>
      </c>
      <c r="G245" s="16" t="s">
        <v>25</v>
      </c>
      <c r="H245" s="18">
        <v>1.089999999999975</v>
      </c>
      <c r="I245" s="19">
        <v>13.198</v>
      </c>
      <c r="J245" s="19">
        <v>14.38581999999967</v>
      </c>
      <c r="K245" s="19">
        <v>0</v>
      </c>
      <c r="L245" s="16">
        <v>1</v>
      </c>
      <c r="M245" s="18">
        <v>1.0579999999999999E-3</v>
      </c>
      <c r="N245" s="18">
        <v>1.091057999999975</v>
      </c>
    </row>
    <row r="246" spans="1:14" x14ac:dyDescent="0.35">
      <c r="A246" s="16"/>
      <c r="B246" s="16"/>
      <c r="C246" s="17">
        <v>44534.024710648147</v>
      </c>
      <c r="D246" s="16" t="s">
        <v>66</v>
      </c>
      <c r="E246" s="16"/>
      <c r="F246" s="16" t="s">
        <v>102</v>
      </c>
      <c r="G246" s="16" t="s">
        <v>25</v>
      </c>
      <c r="H246" s="18">
        <v>0.92000000000001592</v>
      </c>
      <c r="I246" s="19">
        <v>9.8780000000000001</v>
      </c>
      <c r="J246" s="19">
        <v>9.0877600000001575</v>
      </c>
      <c r="K246" s="19">
        <v>0</v>
      </c>
      <c r="L246" s="16">
        <v>1</v>
      </c>
      <c r="M246" s="18">
        <v>1.0579999999999999E-3</v>
      </c>
      <c r="N246" s="18">
        <v>0.92105800000001592</v>
      </c>
    </row>
    <row r="247" spans="1:14" x14ac:dyDescent="0.35">
      <c r="A247" s="16"/>
      <c r="B247" s="16"/>
      <c r="C247" s="17">
        <v>44535.953819444447</v>
      </c>
      <c r="D247" s="16" t="s">
        <v>66</v>
      </c>
      <c r="E247" s="16"/>
      <c r="F247" s="16" t="s">
        <v>102</v>
      </c>
      <c r="G247" s="16" t="s">
        <v>25</v>
      </c>
      <c r="H247" s="18">
        <v>1.5199999999999818</v>
      </c>
      <c r="I247" s="19">
        <v>11.657</v>
      </c>
      <c r="J247" s="19">
        <v>17.718639999999787</v>
      </c>
      <c r="K247" s="19">
        <v>0</v>
      </c>
      <c r="L247" s="16">
        <v>1</v>
      </c>
      <c r="M247" s="18">
        <v>1.0579999999999999E-3</v>
      </c>
      <c r="N247" s="18">
        <v>1.5210579999999818</v>
      </c>
    </row>
    <row r="248" spans="1:14" x14ac:dyDescent="0.35">
      <c r="A248" s="16"/>
      <c r="B248" s="16"/>
      <c r="C248" s="17">
        <v>44536.756631944445</v>
      </c>
      <c r="D248" s="16" t="s">
        <v>66</v>
      </c>
      <c r="E248" s="16"/>
      <c r="F248" s="16" t="s">
        <v>102</v>
      </c>
      <c r="G248" s="16" t="s">
        <v>25</v>
      </c>
      <c r="H248" s="18">
        <v>0.48000000000001819</v>
      </c>
      <c r="I248" s="19">
        <v>12.38</v>
      </c>
      <c r="J248" s="19">
        <v>5.9424000000002257</v>
      </c>
      <c r="K248" s="19">
        <v>0</v>
      </c>
      <c r="L248" s="16">
        <v>1</v>
      </c>
      <c r="M248" s="18">
        <v>1.0579999999999999E-3</v>
      </c>
      <c r="N248" s="18">
        <v>0.48105800000001819</v>
      </c>
    </row>
    <row r="249" spans="1:14" x14ac:dyDescent="0.35">
      <c r="A249" s="16"/>
      <c r="B249" s="16"/>
      <c r="C249" s="17">
        <v>44538.601956018516</v>
      </c>
      <c r="D249" s="16" t="s">
        <v>66</v>
      </c>
      <c r="E249" s="16"/>
      <c r="F249" s="16" t="s">
        <v>102</v>
      </c>
      <c r="G249" s="16" t="s">
        <v>25</v>
      </c>
      <c r="H249" s="18">
        <v>1.2899999999999636</v>
      </c>
      <c r="I249" s="19">
        <v>12.225</v>
      </c>
      <c r="J249" s="19">
        <v>15.770249999999555</v>
      </c>
      <c r="K249" s="19">
        <v>0</v>
      </c>
      <c r="L249" s="16">
        <v>1</v>
      </c>
      <c r="M249" s="18">
        <v>1.0579999999999999E-3</v>
      </c>
      <c r="N249" s="18">
        <v>1.2910579999999636</v>
      </c>
    </row>
    <row r="250" spans="1:14" x14ac:dyDescent="0.35">
      <c r="A250" s="16"/>
      <c r="B250" s="16"/>
      <c r="C250" s="17">
        <v>44539.910266203704</v>
      </c>
      <c r="D250" s="16" t="s">
        <v>66</v>
      </c>
      <c r="E250" s="16"/>
      <c r="F250" s="16" t="s">
        <v>102</v>
      </c>
      <c r="G250" s="16" t="s">
        <v>25</v>
      </c>
      <c r="H250" s="18">
        <v>0.98000000000001819</v>
      </c>
      <c r="I250" s="19">
        <v>11.57</v>
      </c>
      <c r="J250" s="19">
        <v>11.338600000000211</v>
      </c>
      <c r="K250" s="19">
        <v>0</v>
      </c>
      <c r="L250" s="16">
        <v>1</v>
      </c>
      <c r="M250" s="18">
        <v>1.0579999999999999E-3</v>
      </c>
      <c r="N250" s="18">
        <v>0.98105800000001819</v>
      </c>
    </row>
    <row r="251" spans="1:14" x14ac:dyDescent="0.35">
      <c r="A251" s="16"/>
      <c r="B251" s="16"/>
      <c r="C251" s="17">
        <v>44541.740173611113</v>
      </c>
      <c r="D251" s="16" t="s">
        <v>66</v>
      </c>
      <c r="E251" s="16"/>
      <c r="F251" s="16" t="s">
        <v>102</v>
      </c>
      <c r="G251" s="16" t="s">
        <v>25</v>
      </c>
      <c r="H251" s="18">
        <v>1.3600000000000136</v>
      </c>
      <c r="I251" s="19">
        <v>11.285</v>
      </c>
      <c r="J251" s="19">
        <v>15.347600000000154</v>
      </c>
      <c r="K251" s="19">
        <v>0</v>
      </c>
      <c r="L251" s="16">
        <v>1</v>
      </c>
      <c r="M251" s="18">
        <v>1.0579999999999999E-3</v>
      </c>
      <c r="N251" s="18">
        <v>1.3610580000000136</v>
      </c>
    </row>
    <row r="252" spans="1:14" x14ac:dyDescent="0.35">
      <c r="A252" s="16"/>
      <c r="B252" s="16"/>
      <c r="C252" s="17">
        <v>44542.875451388885</v>
      </c>
      <c r="D252" s="16" t="s">
        <v>66</v>
      </c>
      <c r="E252" s="16"/>
      <c r="F252" s="16" t="s">
        <v>102</v>
      </c>
      <c r="G252" s="16" t="s">
        <v>25</v>
      </c>
      <c r="H252" s="18">
        <v>0.84999999999996589</v>
      </c>
      <c r="I252" s="19">
        <v>11.791</v>
      </c>
      <c r="J252" s="19">
        <v>10.022349999999598</v>
      </c>
      <c r="K252" s="19">
        <v>0</v>
      </c>
      <c r="L252" s="16">
        <v>1</v>
      </c>
      <c r="M252" s="18">
        <v>1.0579999999999999E-3</v>
      </c>
      <c r="N252" s="18">
        <v>0.8510579999999659</v>
      </c>
    </row>
    <row r="253" spans="1:14" x14ac:dyDescent="0.35">
      <c r="A253" s="16"/>
      <c r="B253" s="16"/>
      <c r="C253" s="17">
        <v>44543.464953703704</v>
      </c>
      <c r="D253" s="16" t="s">
        <v>66</v>
      </c>
      <c r="E253" s="16"/>
      <c r="F253" s="16" t="s">
        <v>102</v>
      </c>
      <c r="G253" s="16" t="s">
        <v>25</v>
      </c>
      <c r="H253" s="18">
        <v>0.43000000000000682</v>
      </c>
      <c r="I253" s="19">
        <v>11.077999999999999</v>
      </c>
      <c r="J253" s="19">
        <v>4.7635400000000754</v>
      </c>
      <c r="K253" s="19">
        <v>0</v>
      </c>
      <c r="L253" s="16">
        <v>1</v>
      </c>
      <c r="M253" s="18">
        <v>1.0579999999999999E-3</v>
      </c>
      <c r="N253" s="18">
        <v>0.43105800000000682</v>
      </c>
    </row>
    <row r="254" spans="1:14" x14ac:dyDescent="0.35">
      <c r="A254" s="16"/>
      <c r="B254" s="16"/>
      <c r="C254" s="17">
        <v>44543.472916666666</v>
      </c>
      <c r="D254" s="16" t="s">
        <v>8</v>
      </c>
      <c r="E254" s="16"/>
      <c r="F254" s="16" t="s">
        <v>11</v>
      </c>
      <c r="G254" s="16" t="s">
        <v>17</v>
      </c>
      <c r="H254" s="18">
        <v>1.0579999999999999E-3</v>
      </c>
      <c r="I254" s="19">
        <v>47255.62</v>
      </c>
      <c r="J254" s="19">
        <v>49.996445959999996</v>
      </c>
      <c r="K254" s="19">
        <v>0</v>
      </c>
      <c r="L254" s="16">
        <v>1</v>
      </c>
      <c r="M254" s="18">
        <v>0</v>
      </c>
      <c r="N254" s="18">
        <v>1.0579999999999999E-3</v>
      </c>
    </row>
    <row r="255" spans="1:14" x14ac:dyDescent="0.35">
      <c r="A255" s="16"/>
      <c r="B255" s="16"/>
      <c r="C255" s="17">
        <v>44543.472916666666</v>
      </c>
      <c r="D255" s="16" t="s">
        <v>23</v>
      </c>
      <c r="E255" s="16" t="s">
        <v>97</v>
      </c>
      <c r="F255" s="16" t="s">
        <v>11</v>
      </c>
      <c r="G255" s="16" t="s">
        <v>12</v>
      </c>
      <c r="H255" s="18">
        <v>7.1000000000000005E-5</v>
      </c>
      <c r="I255" s="19">
        <v>526.91</v>
      </c>
      <c r="J255" s="19">
        <v>3.7410609999999997E-2</v>
      </c>
      <c r="K255" s="19">
        <v>0</v>
      </c>
      <c r="L255" s="16">
        <v>1</v>
      </c>
      <c r="M255" s="18">
        <v>8.4445203759164701E-4</v>
      </c>
      <c r="N255" s="18">
        <v>7.7345203759164702E-4</v>
      </c>
    </row>
    <row r="256" spans="1:14" x14ac:dyDescent="0.35">
      <c r="A256" s="16"/>
      <c r="B256" s="16"/>
      <c r="C256" s="17">
        <v>44544.865300925929</v>
      </c>
      <c r="D256" s="16" t="s">
        <v>66</v>
      </c>
      <c r="E256" s="16"/>
      <c r="F256" s="16" t="s">
        <v>102</v>
      </c>
      <c r="G256" s="16" t="s">
        <v>25</v>
      </c>
      <c r="H256" s="18">
        <v>1</v>
      </c>
      <c r="I256" s="19">
        <v>12.731</v>
      </c>
      <c r="J256" s="19">
        <v>12.731</v>
      </c>
      <c r="K256" s="19">
        <v>0</v>
      </c>
      <c r="L256" s="16">
        <v>1</v>
      </c>
      <c r="M256" s="18">
        <v>1.0579999999999999E-3</v>
      </c>
      <c r="N256" s="18">
        <v>1.001058</v>
      </c>
    </row>
    <row r="257" spans="1:14" x14ac:dyDescent="0.35">
      <c r="A257" s="16"/>
      <c r="B257" s="16"/>
      <c r="C257" s="17">
        <v>44545.843055555553</v>
      </c>
      <c r="D257" s="16" t="s">
        <v>8</v>
      </c>
      <c r="E257" s="16"/>
      <c r="F257" s="16" t="s">
        <v>11</v>
      </c>
      <c r="G257" s="16" t="s">
        <v>12</v>
      </c>
      <c r="H257" s="18">
        <v>5.3668986599999094E-2</v>
      </c>
      <c r="I257" s="19">
        <v>537.83000000000004</v>
      </c>
      <c r="J257" s="19">
        <v>28.964791063077516</v>
      </c>
      <c r="K257" s="19">
        <v>0.1</v>
      </c>
      <c r="L257" s="16">
        <v>1</v>
      </c>
      <c r="M257" s="18">
        <v>7.7347203759164701E-4</v>
      </c>
      <c r="N257" s="18">
        <v>5.4442458637590743E-2</v>
      </c>
    </row>
    <row r="258" spans="1:14" x14ac:dyDescent="0.35">
      <c r="A258" s="16"/>
      <c r="B258" s="16"/>
      <c r="C258" s="17">
        <v>44545.864583333336</v>
      </c>
      <c r="D258" s="16" t="s">
        <v>8</v>
      </c>
      <c r="E258" s="16"/>
      <c r="F258" s="16" t="s">
        <v>11</v>
      </c>
      <c r="G258" s="16" t="s">
        <v>17</v>
      </c>
      <c r="H258" s="18">
        <v>1.0700000000000067E-3</v>
      </c>
      <c r="I258" s="19">
        <v>47225.62</v>
      </c>
      <c r="J258" s="19">
        <v>50.531413400000318</v>
      </c>
      <c r="K258" s="19">
        <v>0</v>
      </c>
      <c r="L258" s="16">
        <v>1</v>
      </c>
      <c r="M258" s="18">
        <v>1.0579999999999999E-3</v>
      </c>
      <c r="N258" s="18">
        <v>2.1280000000000066E-3</v>
      </c>
    </row>
    <row r="259" spans="1:14" x14ac:dyDescent="0.35">
      <c r="A259" s="16"/>
      <c r="B259" s="16"/>
      <c r="C259" s="17">
        <v>44545.864583333336</v>
      </c>
      <c r="D259" s="16" t="s">
        <v>23</v>
      </c>
      <c r="E259" s="16" t="s">
        <v>97</v>
      </c>
      <c r="F259" s="16" t="s">
        <v>11</v>
      </c>
      <c r="G259" s="16" t="s">
        <v>12</v>
      </c>
      <c r="H259" s="18">
        <v>7.1000000000000005E-5</v>
      </c>
      <c r="I259" s="19">
        <v>530.19000000000005</v>
      </c>
      <c r="J259" s="19">
        <v>3.7643490000000009E-2</v>
      </c>
      <c r="K259" s="19">
        <v>0</v>
      </c>
      <c r="L259" s="16">
        <v>1</v>
      </c>
      <c r="M259" s="18">
        <v>1.0579999999999999E-3</v>
      </c>
      <c r="N259" s="18">
        <v>9.8699999999999981E-4</v>
      </c>
    </row>
    <row r="260" spans="1:14" x14ac:dyDescent="0.35">
      <c r="A260" s="16"/>
      <c r="B260" s="16"/>
      <c r="C260" s="17">
        <v>44545.879988425928</v>
      </c>
      <c r="D260" s="16" t="s">
        <v>66</v>
      </c>
      <c r="E260" s="16"/>
      <c r="F260" s="16" t="s">
        <v>102</v>
      </c>
      <c r="G260" s="16" t="s">
        <v>25</v>
      </c>
      <c r="H260" s="18">
        <v>0.71000000000003638</v>
      </c>
      <c r="I260" s="19">
        <v>13.048999999999999</v>
      </c>
      <c r="J260" s="19">
        <v>9.2647900000004739</v>
      </c>
      <c r="K260" s="19">
        <v>0</v>
      </c>
      <c r="L260" s="16">
        <v>1</v>
      </c>
      <c r="M260" s="18">
        <v>1.0579999999999999E-3</v>
      </c>
      <c r="N260" s="18">
        <v>0.71105800000003638</v>
      </c>
    </row>
    <row r="261" spans="1:14" x14ac:dyDescent="0.35">
      <c r="A261" s="16"/>
      <c r="B261" s="16"/>
      <c r="C261" s="17">
        <v>44546.762962962966</v>
      </c>
      <c r="D261" s="16" t="s">
        <v>66</v>
      </c>
      <c r="E261" s="16"/>
      <c r="F261" s="16" t="s">
        <v>102</v>
      </c>
      <c r="G261" s="16" t="s">
        <v>25</v>
      </c>
      <c r="H261" s="18">
        <v>0.6099999999999568</v>
      </c>
      <c r="I261" s="19">
        <v>12.715999999999999</v>
      </c>
      <c r="J261" s="19">
        <v>7.7567599999994501</v>
      </c>
      <c r="K261" s="19">
        <v>0</v>
      </c>
      <c r="L261" s="16">
        <v>1</v>
      </c>
      <c r="M261" s="18">
        <v>1.0579999999999999E-3</v>
      </c>
      <c r="N261" s="18">
        <v>0.6110579999999568</v>
      </c>
    </row>
    <row r="262" spans="1:14" x14ac:dyDescent="0.35">
      <c r="A262" s="16"/>
      <c r="B262" s="16"/>
      <c r="C262" s="17">
        <v>44548.639548611114</v>
      </c>
      <c r="D262" s="16" t="s">
        <v>66</v>
      </c>
      <c r="E262" s="16"/>
      <c r="F262" s="16" t="s">
        <v>102</v>
      </c>
      <c r="G262" s="16" t="s">
        <v>25</v>
      </c>
      <c r="H262" s="18">
        <v>1.2900000000000205</v>
      </c>
      <c r="I262" s="19">
        <v>12.593</v>
      </c>
      <c r="J262" s="19">
        <v>16.244970000000258</v>
      </c>
      <c r="K262" s="19">
        <v>0</v>
      </c>
      <c r="L262" s="16">
        <v>1</v>
      </c>
      <c r="M262" s="18">
        <v>1.0579999999999999E-3</v>
      </c>
      <c r="N262" s="18">
        <v>1.2910580000000205</v>
      </c>
    </row>
    <row r="263" spans="1:14" x14ac:dyDescent="0.35">
      <c r="A263" s="16"/>
      <c r="B263" s="16"/>
      <c r="C263" s="17">
        <v>44550.070798611108</v>
      </c>
      <c r="D263" s="16" t="s">
        <v>66</v>
      </c>
      <c r="E263" s="16"/>
      <c r="F263" s="16" t="s">
        <v>102</v>
      </c>
      <c r="G263" s="16" t="s">
        <v>25</v>
      </c>
      <c r="H263" s="18">
        <v>0.99000000000000909</v>
      </c>
      <c r="I263" s="19">
        <v>12.268000000000001</v>
      </c>
      <c r="J263" s="19">
        <v>12.145320000000112</v>
      </c>
      <c r="K263" s="19">
        <v>0</v>
      </c>
      <c r="L263" s="16">
        <v>1</v>
      </c>
      <c r="M263" s="18">
        <v>1.0579999999999999E-3</v>
      </c>
      <c r="N263" s="18">
        <v>0.9910580000000091</v>
      </c>
    </row>
    <row r="264" spans="1:14" x14ac:dyDescent="0.35">
      <c r="A264" s="16"/>
      <c r="B264" s="16"/>
      <c r="C264" s="17">
        <v>44551.423877314817</v>
      </c>
      <c r="D264" s="16" t="s">
        <v>66</v>
      </c>
      <c r="E264" s="16"/>
      <c r="F264" s="16" t="s">
        <v>102</v>
      </c>
      <c r="G264" s="16" t="s">
        <v>25</v>
      </c>
      <c r="H264" s="18">
        <v>0.93000000000000682</v>
      </c>
      <c r="I264" s="19">
        <v>11.864000000000001</v>
      </c>
      <c r="J264" s="19">
        <v>11.033520000000081</v>
      </c>
      <c r="K264" s="19">
        <v>0</v>
      </c>
      <c r="L264" s="16">
        <v>1</v>
      </c>
      <c r="M264" s="18">
        <v>1.0579999999999999E-3</v>
      </c>
      <c r="N264" s="18">
        <v>0.93105800000000682</v>
      </c>
    </row>
    <row r="265" spans="1:14" x14ac:dyDescent="0.35">
      <c r="A265" s="16"/>
      <c r="B265" s="16"/>
      <c r="C265" s="17">
        <v>44551.440972222219</v>
      </c>
      <c r="D265" s="16" t="s">
        <v>23</v>
      </c>
      <c r="E265" s="16" t="s">
        <v>101</v>
      </c>
      <c r="F265" s="16" t="s">
        <v>102</v>
      </c>
      <c r="G265" s="16" t="s">
        <v>12</v>
      </c>
      <c r="H265" s="18">
        <v>3.3322499999999998E-4</v>
      </c>
      <c r="I265" s="19">
        <v>510.16579999999999</v>
      </c>
      <c r="J265" s="19">
        <v>0.16999999870499999</v>
      </c>
      <c r="K265" s="19">
        <v>0</v>
      </c>
      <c r="L265" s="16">
        <v>1</v>
      </c>
      <c r="M265" s="18">
        <v>1.0579999999999999E-3</v>
      </c>
      <c r="N265" s="18">
        <v>7.2477499999999999E-4</v>
      </c>
    </row>
    <row r="266" spans="1:14" x14ac:dyDescent="0.35">
      <c r="A266" s="16"/>
      <c r="B266" s="16"/>
      <c r="C266" s="17">
        <v>44551.441666666666</v>
      </c>
      <c r="D266" s="16" t="s">
        <v>23</v>
      </c>
      <c r="E266" s="16" t="s">
        <v>104</v>
      </c>
      <c r="F266" s="16" t="s">
        <v>102</v>
      </c>
      <c r="G266" s="16" t="s">
        <v>12</v>
      </c>
      <c r="H266" s="18">
        <v>1.9275850000000001E-3</v>
      </c>
      <c r="I266" s="19">
        <v>510.16579999999999</v>
      </c>
      <c r="J266" s="19">
        <v>0.98338794359300008</v>
      </c>
      <c r="K266" s="19">
        <v>0</v>
      </c>
      <c r="L266" s="16">
        <v>1</v>
      </c>
      <c r="M266" s="18">
        <v>1.0579999999999999E-3</v>
      </c>
      <c r="N266" s="18">
        <v>-8.6958500000000019E-4</v>
      </c>
    </row>
    <row r="267" spans="1:14" x14ac:dyDescent="0.35">
      <c r="A267" s="16"/>
      <c r="B267" s="16"/>
      <c r="C267" s="17">
        <v>44551.441666666666</v>
      </c>
      <c r="D267" s="16" t="s">
        <v>8</v>
      </c>
      <c r="E267" s="16"/>
      <c r="F267" s="16" t="s">
        <v>107</v>
      </c>
      <c r="G267" s="16" t="s">
        <v>12</v>
      </c>
      <c r="H267" s="18">
        <v>11.1230328665945</v>
      </c>
      <c r="I267" s="19">
        <v>510.16579999999999</v>
      </c>
      <c r="J267" s="19">
        <v>5674.5909608124757</v>
      </c>
      <c r="K267" s="19">
        <v>0</v>
      </c>
      <c r="L267" s="16">
        <v>1</v>
      </c>
      <c r="M267" s="18">
        <v>1.0579999999999999E-3</v>
      </c>
      <c r="N267" s="18">
        <v>11.1240908665945</v>
      </c>
    </row>
    <row r="268" spans="1:14" x14ac:dyDescent="0.35">
      <c r="A268" s="16"/>
      <c r="B268" s="16"/>
      <c r="C268" s="17">
        <v>44551.441666666666</v>
      </c>
      <c r="D268" s="16" t="s">
        <v>23</v>
      </c>
      <c r="E268" s="16"/>
      <c r="F268" s="16" t="s">
        <v>108</v>
      </c>
      <c r="G268" s="16" t="s">
        <v>12</v>
      </c>
      <c r="H268" s="18">
        <v>2.0000000000000001E-4</v>
      </c>
      <c r="I268" s="19">
        <v>510.16579999999999</v>
      </c>
      <c r="J268" s="19">
        <v>0.10203316</v>
      </c>
      <c r="K268" s="19">
        <v>0</v>
      </c>
      <c r="L268" s="16">
        <v>1</v>
      </c>
      <c r="M268" s="18">
        <v>1.0579999999999999E-3</v>
      </c>
      <c r="N268" s="18">
        <v>8.5799999999999993E-4</v>
      </c>
    </row>
    <row r="269" spans="1:14" x14ac:dyDescent="0.35">
      <c r="A269" s="16"/>
      <c r="B269" s="16"/>
      <c r="C269" s="17">
        <v>44551.442361111112</v>
      </c>
      <c r="D269" s="16" t="s">
        <v>23</v>
      </c>
      <c r="E269" s="16" t="s">
        <v>103</v>
      </c>
      <c r="F269" s="16" t="s">
        <v>102</v>
      </c>
      <c r="G269" s="16" t="s">
        <v>12</v>
      </c>
      <c r="H269" s="18">
        <v>5.0000000000000001E-3</v>
      </c>
      <c r="I269" s="19">
        <v>510.16579999999999</v>
      </c>
      <c r="J269" s="19">
        <v>2.5508289999999998</v>
      </c>
      <c r="K269" s="19">
        <v>0</v>
      </c>
      <c r="L269" s="16">
        <v>1</v>
      </c>
      <c r="M269" s="18">
        <v>1.0579999999999999E-3</v>
      </c>
      <c r="N269" s="18">
        <v>-3.9420000000000002E-3</v>
      </c>
    </row>
    <row r="270" spans="1:14" x14ac:dyDescent="0.35">
      <c r="A270" s="16"/>
      <c r="B270" s="16"/>
      <c r="C270" s="17">
        <v>44551.481249999997</v>
      </c>
      <c r="D270" s="16" t="s">
        <v>8</v>
      </c>
      <c r="E270" s="16"/>
      <c r="F270" s="16"/>
      <c r="G270" s="16" t="s">
        <v>17</v>
      </c>
      <c r="H270" s="18">
        <v>6.0899999999999995E-4</v>
      </c>
      <c r="I270" s="19">
        <v>49341.22</v>
      </c>
      <c r="J270" s="19">
        <v>30.048802979999998</v>
      </c>
      <c r="K270" s="19">
        <v>0</v>
      </c>
      <c r="L270" s="16">
        <v>1</v>
      </c>
      <c r="M270" s="18">
        <v>0</v>
      </c>
      <c r="N270" s="18">
        <v>6.0899999999999995E-4</v>
      </c>
    </row>
    <row r="271" spans="1:14" x14ac:dyDescent="0.35">
      <c r="A271" s="16"/>
      <c r="B271" s="16"/>
      <c r="C271" s="17">
        <v>44551.481249999997</v>
      </c>
      <c r="D271" s="16" t="s">
        <v>23</v>
      </c>
      <c r="E271" s="16"/>
      <c r="F271" s="16"/>
      <c r="G271" s="16" t="s">
        <v>12</v>
      </c>
      <c r="H271" s="18">
        <v>4.2549999999999997E-5</v>
      </c>
      <c r="I271" s="19">
        <v>534.04</v>
      </c>
      <c r="J271" s="19">
        <v>2.2723401999999997E-2</v>
      </c>
      <c r="K271" s="19">
        <v>0</v>
      </c>
      <c r="L271" s="16">
        <v>1</v>
      </c>
      <c r="M271" s="18">
        <v>0</v>
      </c>
      <c r="N271" s="18">
        <v>-4.2549999999999997E-5</v>
      </c>
    </row>
    <row r="272" spans="1:14" x14ac:dyDescent="0.35">
      <c r="A272" s="16"/>
      <c r="B272" s="16"/>
      <c r="C272" s="17">
        <v>44551.961805555555</v>
      </c>
      <c r="D272" s="16" t="s">
        <v>8</v>
      </c>
      <c r="E272" s="16"/>
      <c r="F272" s="16"/>
      <c r="G272" s="16" t="s">
        <v>109</v>
      </c>
      <c r="H272" s="18">
        <v>975</v>
      </c>
      <c r="I272" s="19">
        <v>1</v>
      </c>
      <c r="J272" s="19">
        <v>975</v>
      </c>
      <c r="K272" s="19">
        <v>0</v>
      </c>
      <c r="L272" s="16">
        <v>1</v>
      </c>
      <c r="M272" s="18">
        <v>0</v>
      </c>
      <c r="N272" s="18">
        <v>975</v>
      </c>
    </row>
    <row r="273" spans="1:14" x14ac:dyDescent="0.35">
      <c r="A273" s="16"/>
      <c r="B273" s="16"/>
      <c r="C273" s="17" t="s">
        <v>105</v>
      </c>
      <c r="D273" s="16" t="s">
        <v>13</v>
      </c>
      <c r="E273" s="16"/>
      <c r="F273" s="16" t="s">
        <v>102</v>
      </c>
      <c r="G273" s="16" t="s">
        <v>25</v>
      </c>
      <c r="H273" s="18">
        <v>494.9778622</v>
      </c>
      <c r="I273" s="19" t="s">
        <v>106</v>
      </c>
      <c r="J273" s="19">
        <f>Transaction_tbl[[#This Row],[Transacted Units]]*Transaction_tbl[[#This Row],[Transacted Price (per unit)]]</f>
        <v>5858.5579769992</v>
      </c>
      <c r="K273" s="19">
        <v>0</v>
      </c>
      <c r="L273" s="16">
        <v>1</v>
      </c>
      <c r="M273" s="18">
        <v>1.0579999999999999E-3</v>
      </c>
      <c r="N273" s="18">
        <v>-494.9768042</v>
      </c>
    </row>
    <row r="274" spans="1:14" x14ac:dyDescent="0.35">
      <c r="A274" s="16"/>
      <c r="B274" s="16"/>
      <c r="C274" s="17">
        <v>44553.38958333333</v>
      </c>
      <c r="D274" s="16" t="s">
        <v>8</v>
      </c>
      <c r="E274" s="16"/>
      <c r="F274" s="16" t="s">
        <v>11</v>
      </c>
      <c r="G274" s="16" t="s">
        <v>17</v>
      </c>
      <c r="H274" s="18">
        <v>1.9680000000000001E-3</v>
      </c>
      <c r="I274" s="19">
        <v>508000.51</v>
      </c>
      <c r="J274" s="19">
        <f>Transaction_tbl[[#This Row],[Transacted Units]]*Transaction_tbl[[#This Row],[Transacted Price (per unit)]]</f>
        <v>999.74500368000008</v>
      </c>
      <c r="K274" s="19">
        <v>0</v>
      </c>
      <c r="L274" s="16">
        <v>1</v>
      </c>
      <c r="M274" s="18"/>
      <c r="N274" s="18"/>
    </row>
    <row r="275" spans="1:14" x14ac:dyDescent="0.35">
      <c r="A275" s="16"/>
      <c r="B275" s="16"/>
      <c r="C275" s="17">
        <v>44553.38958333333</v>
      </c>
      <c r="D275" s="16" t="s">
        <v>23</v>
      </c>
      <c r="E275" s="16"/>
      <c r="F275" s="16" t="s">
        <v>11</v>
      </c>
      <c r="G275" s="16" t="s">
        <v>12</v>
      </c>
      <c r="H275" s="18">
        <v>1.3689E-4</v>
      </c>
      <c r="I275" s="19">
        <v>524.52</v>
      </c>
      <c r="J275" s="19">
        <f>Transaction_tbl[[#This Row],[Transacted Units]]*Transaction_tbl[[#This Row],[Transacted Price (per unit)]]</f>
        <v>7.1801542799999993E-2</v>
      </c>
      <c r="K275" s="19">
        <v>0</v>
      </c>
      <c r="L275" s="16">
        <v>1</v>
      </c>
      <c r="M275" s="18"/>
      <c r="N275" s="18"/>
    </row>
    <row r="276" spans="1:14" x14ac:dyDescent="0.35">
      <c r="A276" s="16"/>
      <c r="B276" s="16"/>
      <c r="C276" s="17">
        <v>44560.5625</v>
      </c>
      <c r="D276" s="16" t="s">
        <v>8</v>
      </c>
      <c r="E276" s="16"/>
      <c r="F276" s="16" t="s">
        <v>11</v>
      </c>
      <c r="G276" s="16" t="s">
        <v>18</v>
      </c>
      <c r="H276" s="18">
        <v>3.2000000000000001E-2</v>
      </c>
      <c r="I276" s="19">
        <v>3750</v>
      </c>
      <c r="J276" s="19">
        <f>Transaction_tbl[[#This Row],[Transacted Units]]*Transaction_tbl[[#This Row],[Transacted Price (per unit)]]</f>
        <v>120</v>
      </c>
      <c r="K276" s="19"/>
      <c r="L276" s="16"/>
      <c r="M276" s="18"/>
      <c r="N276" s="18"/>
    </row>
    <row r="277" spans="1:14" x14ac:dyDescent="0.35">
      <c r="A277" s="16"/>
      <c r="B277" s="16"/>
      <c r="C277" s="17">
        <v>44560.5625</v>
      </c>
      <c r="D277" s="16" t="s">
        <v>23</v>
      </c>
      <c r="E277" s="16"/>
      <c r="F277" s="16" t="s">
        <v>11</v>
      </c>
      <c r="G277" s="16" t="s">
        <v>12</v>
      </c>
      <c r="H277" s="18">
        <v>1.7263000000000001E-4</v>
      </c>
      <c r="I277" s="19">
        <v>521.69000000000005</v>
      </c>
      <c r="J277" s="19">
        <f>Transaction_tbl[[#This Row],[Transacted Units]]*Transaction_tbl[[#This Row],[Transacted Price (per unit)]]</f>
        <v>9.0059344700000016E-2</v>
      </c>
      <c r="K277" s="19"/>
      <c r="L277" s="16"/>
      <c r="M277" s="18"/>
      <c r="N277" s="18"/>
    </row>
    <row r="278" spans="1:14" x14ac:dyDescent="0.35">
      <c r="A278" s="16"/>
      <c r="B278" s="16"/>
      <c r="C278" s="17">
        <v>44560.5625</v>
      </c>
      <c r="D278" s="16" t="s">
        <v>8</v>
      </c>
      <c r="E278" s="16"/>
      <c r="F278" s="16" t="s">
        <v>11</v>
      </c>
      <c r="G278" s="16" t="s">
        <v>109</v>
      </c>
      <c r="H278" s="18">
        <v>125</v>
      </c>
      <c r="I278" s="19">
        <v>1.0001</v>
      </c>
      <c r="J278" s="19">
        <f>Transaction_tbl[[#This Row],[Transacted Units]]*Transaction_tbl[[#This Row],[Transacted Price (per unit)]]</f>
        <v>125.0125</v>
      </c>
      <c r="K278" s="19"/>
      <c r="L278" s="16"/>
      <c r="M278" s="18"/>
      <c r="N278" s="18"/>
    </row>
    <row r="279" spans="1:14" x14ac:dyDescent="0.35">
      <c r="A279" s="16"/>
      <c r="B279" s="16"/>
      <c r="C279" s="17">
        <v>44560.5625</v>
      </c>
      <c r="D279" s="16" t="s">
        <v>23</v>
      </c>
      <c r="E279" s="16"/>
      <c r="F279" s="16" t="s">
        <v>11</v>
      </c>
      <c r="G279" s="16" t="s">
        <v>12</v>
      </c>
      <c r="H279" s="18">
        <v>1.7995000000000001E-4</v>
      </c>
      <c r="I279" s="19">
        <v>521.69000000000005</v>
      </c>
      <c r="J279" s="19">
        <f>Transaction_tbl[[#This Row],[Transacted Units]]*Transaction_tbl[[#This Row],[Transacted Price (per unit)]]</f>
        <v>9.3878115500000012E-2</v>
      </c>
      <c r="K279" s="19"/>
      <c r="L279" s="16"/>
      <c r="M279" s="18"/>
      <c r="N279" s="18"/>
    </row>
    <row r="280" spans="1:14" x14ac:dyDescent="0.35">
      <c r="A280" s="16"/>
      <c r="B280" s="16"/>
      <c r="C280" s="17">
        <v>44560.5625</v>
      </c>
      <c r="D280" s="16" t="s">
        <v>23</v>
      </c>
      <c r="E280" s="16"/>
      <c r="F280" s="16" t="s">
        <v>11</v>
      </c>
      <c r="G280" s="16" t="s">
        <v>18</v>
      </c>
      <c r="H280" s="18">
        <f>0.032-0.0275</f>
        <v>4.5000000000000005E-3</v>
      </c>
      <c r="I280" s="19">
        <v>3750</v>
      </c>
      <c r="J280" s="19">
        <f>Transaction_tbl[[#This Row],[Transacted Units]]*Transaction_tbl[[#This Row],[Transacted Price (per unit)]]</f>
        <v>16.875000000000004</v>
      </c>
      <c r="K280" s="19"/>
      <c r="L280" s="16"/>
      <c r="M280" s="18"/>
      <c r="N280" s="18"/>
    </row>
    <row r="281" spans="1:14" x14ac:dyDescent="0.35">
      <c r="A281" s="16"/>
      <c r="B281" s="16"/>
      <c r="C281" s="17">
        <v>44560.5625</v>
      </c>
      <c r="D281" s="16" t="s">
        <v>13</v>
      </c>
      <c r="E281" s="16" t="s">
        <v>111</v>
      </c>
      <c r="F281" s="16" t="s">
        <v>102</v>
      </c>
      <c r="G281" s="16" t="s">
        <v>109</v>
      </c>
      <c r="H281" s="18">
        <v>506.47</v>
      </c>
      <c r="I281" s="19">
        <v>1</v>
      </c>
      <c r="J281" s="19">
        <f>Transaction_tbl[[#This Row],[Transacted Units]]*Transaction_tbl[[#This Row],[Transacted Price (per unit)]]</f>
        <v>506.47</v>
      </c>
      <c r="K281" s="19"/>
      <c r="L281" s="16"/>
      <c r="M281" s="18"/>
      <c r="N281" s="18"/>
    </row>
    <row r="282" spans="1:14" x14ac:dyDescent="0.35">
      <c r="A282" s="16"/>
      <c r="B282" s="16"/>
      <c r="C282" s="17">
        <v>44560.5625</v>
      </c>
      <c r="D282" s="16" t="s">
        <v>23</v>
      </c>
      <c r="E282" s="16"/>
      <c r="F282" s="16" t="s">
        <v>102</v>
      </c>
      <c r="G282" s="16" t="s">
        <v>18</v>
      </c>
      <c r="H282" s="18">
        <v>9.202231206E-3</v>
      </c>
      <c r="I282" s="19">
        <v>3744.7439896458523</v>
      </c>
      <c r="J282" s="19">
        <f>Transaction_tbl[[#This Row],[Transacted Units]]*Transaction_tbl[[#This Row],[Transacted Price (per unit)]]</f>
        <v>34.46</v>
      </c>
      <c r="K282" s="19"/>
      <c r="L282" s="16"/>
      <c r="M282" s="18"/>
      <c r="N282" s="18"/>
    </row>
    <row r="283" spans="1:14" x14ac:dyDescent="0.35">
      <c r="A283" s="16"/>
      <c r="B283" s="16"/>
      <c r="C283" s="17">
        <v>44560.5625</v>
      </c>
      <c r="D283" s="16" t="s">
        <v>8</v>
      </c>
      <c r="E283" s="16"/>
      <c r="F283" s="16" t="s">
        <v>11</v>
      </c>
      <c r="G283" s="16" t="s">
        <v>17</v>
      </c>
      <c r="H283" s="18">
        <v>1.1509999999999999E-3</v>
      </c>
      <c r="I283" s="19">
        <v>47836.44</v>
      </c>
      <c r="J283" s="19">
        <f>Transaction_tbl[[#This Row],[Transacted Units]]*Transaction_tbl[[#This Row],[Transacted Price (per unit)]]</f>
        <v>55.059742440000001</v>
      </c>
      <c r="K283" s="19"/>
      <c r="L283" s="16"/>
      <c r="M283" s="18"/>
      <c r="N283" s="18"/>
    </row>
    <row r="284" spans="1:14" x14ac:dyDescent="0.35">
      <c r="A284" s="16"/>
      <c r="B284" s="16"/>
      <c r="C284" s="17">
        <v>44560.5625</v>
      </c>
      <c r="D284" s="16" t="s">
        <v>23</v>
      </c>
      <c r="E284" s="16"/>
      <c r="F284" s="16" t="s">
        <v>11</v>
      </c>
      <c r="G284" s="16" t="s">
        <v>12</v>
      </c>
      <c r="H284" s="18">
        <v>7.8990000000000001E-5</v>
      </c>
      <c r="I284" s="19">
        <v>521.69000000000005</v>
      </c>
      <c r="J284" s="19">
        <f>Transaction_tbl[[#This Row],[Transacted Units]]*Transaction_tbl[[#This Row],[Transacted Price (per unit)]]</f>
        <v>4.1208293100000008E-2</v>
      </c>
      <c r="K284" s="19"/>
      <c r="L284" s="16"/>
      <c r="M284" s="18"/>
      <c r="N284" s="18"/>
    </row>
    <row r="285" spans="1:14" x14ac:dyDescent="0.35">
      <c r="A285" s="16"/>
      <c r="B285" s="16"/>
      <c r="C285" s="17">
        <v>44575</v>
      </c>
      <c r="D285" s="16" t="s">
        <v>8</v>
      </c>
      <c r="E285" s="16"/>
      <c r="F285" s="16" t="s">
        <v>11</v>
      </c>
      <c r="G285" s="16" t="s">
        <v>17</v>
      </c>
      <c r="H285" s="18">
        <v>4.64E-3</v>
      </c>
      <c r="I285" s="19">
        <v>43103.69</v>
      </c>
      <c r="J285" s="19">
        <f>Transaction_tbl[[#This Row],[Transacted Units]]*Transaction_tbl[[#This Row],[Transacted Price (per unit)]]</f>
        <v>200.0011216</v>
      </c>
      <c r="K285" s="19"/>
      <c r="L285" s="16"/>
      <c r="M285" s="18"/>
      <c r="N285" s="18"/>
    </row>
    <row r="286" spans="1:14" x14ac:dyDescent="0.35">
      <c r="A286" s="16"/>
      <c r="B286" s="16"/>
      <c r="C286" s="17">
        <v>44575</v>
      </c>
      <c r="D286" s="16" t="s">
        <v>8</v>
      </c>
      <c r="E286" s="16"/>
      <c r="F286" s="16" t="s">
        <v>11</v>
      </c>
      <c r="G286" s="16" t="s">
        <v>12</v>
      </c>
      <c r="H286" s="18">
        <v>3.1116999999999999E-4</v>
      </c>
      <c r="I286" s="19">
        <v>482.24</v>
      </c>
      <c r="J286" s="19">
        <f>Transaction_tbl[[#This Row],[Transacted Units]]*Transaction_tbl[[#This Row],[Transacted Price (per unit)]]</f>
        <v>0.15005862079999999</v>
      </c>
      <c r="K286" s="19"/>
      <c r="L286" s="16"/>
      <c r="M286" s="18"/>
      <c r="N286" s="18"/>
    </row>
    <row r="287" spans="1:14" x14ac:dyDescent="0.35">
      <c r="A287" s="16"/>
      <c r="B287" s="16"/>
      <c r="C287" s="17">
        <v>44583</v>
      </c>
      <c r="D287" s="16" t="s">
        <v>8</v>
      </c>
      <c r="E287" s="16"/>
      <c r="F287" s="16" t="s">
        <v>11</v>
      </c>
      <c r="G287" s="16" t="s">
        <v>17</v>
      </c>
      <c r="H287" s="18">
        <v>2.8609999999999998E-3</v>
      </c>
      <c r="I287" s="19">
        <v>34954.04</v>
      </c>
      <c r="J287" s="19">
        <f>Transaction_tbl[[#This Row],[Transacted Units]]*Transaction_tbl[[#This Row],[Transacted Price (per unit)]]</f>
        <v>100.00350843999999</v>
      </c>
      <c r="K287" s="19"/>
      <c r="L287" s="16"/>
      <c r="M287" s="18"/>
      <c r="N287" s="18"/>
    </row>
    <row r="288" spans="1:14" x14ac:dyDescent="0.35">
      <c r="A288" s="16"/>
      <c r="B288" s="16"/>
      <c r="C288" s="17">
        <v>44583</v>
      </c>
      <c r="D288" s="16" t="s">
        <v>8</v>
      </c>
      <c r="E288" s="16"/>
      <c r="F288" s="16" t="s">
        <v>11</v>
      </c>
      <c r="G288" s="16" t="s">
        <v>12</v>
      </c>
      <c r="H288" s="18">
        <v>2.1081E-4</v>
      </c>
      <c r="I288" s="19">
        <v>355.34</v>
      </c>
      <c r="J288" s="19">
        <f>Transaction_tbl[[#This Row],[Transacted Units]]*Transaction_tbl[[#This Row],[Transacted Price (per unit)]]</f>
        <v>7.4909225399999987E-2</v>
      </c>
      <c r="K288" s="19"/>
      <c r="L288" s="16"/>
      <c r="M288" s="18"/>
      <c r="N288" s="18"/>
    </row>
    <row r="289" spans="1:14" x14ac:dyDescent="0.35">
      <c r="A289" s="16"/>
      <c r="B289" s="16"/>
      <c r="C289" s="17">
        <v>44641</v>
      </c>
      <c r="D289" s="16" t="s">
        <v>13</v>
      </c>
      <c r="E289" s="16"/>
      <c r="F289" s="16" t="s">
        <v>11</v>
      </c>
      <c r="G289" s="16" t="s">
        <v>12</v>
      </c>
      <c r="H289" s="18">
        <f>8.49+2.8+0.1</f>
        <v>11.389999999999999</v>
      </c>
      <c r="I289" s="19">
        <v>400</v>
      </c>
      <c r="J289" s="19">
        <f>Transaction_tbl[[#This Row],[Transacted Units]]*Transaction_tbl[[#This Row],[Transacted Price (per unit)]]</f>
        <v>4555.9999999999991</v>
      </c>
      <c r="K289" s="19"/>
      <c r="L289" s="16"/>
      <c r="M289" s="18"/>
      <c r="N289" s="18"/>
    </row>
    <row r="290" spans="1:14" x14ac:dyDescent="0.35">
      <c r="A290" s="16"/>
      <c r="B290" s="16"/>
      <c r="C290" s="17">
        <v>44641</v>
      </c>
      <c r="D290" s="16" t="s">
        <v>23</v>
      </c>
      <c r="E290" s="16"/>
      <c r="F290" s="16" t="s">
        <v>11</v>
      </c>
      <c r="G290" s="16" t="s">
        <v>12</v>
      </c>
      <c r="H290" s="18">
        <v>2.1731699999999999E-3</v>
      </c>
      <c r="I290" s="19">
        <v>400</v>
      </c>
      <c r="J290" s="19"/>
      <c r="K290" s="19"/>
      <c r="L290" s="16"/>
      <c r="M290" s="18"/>
      <c r="N290" s="18"/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82DD8-F467-4D29-B7DD-DEFACAB6C48D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CreateTxnTables">
                <anchor moveWithCells="1" sizeWithCells="1">
                  <from>
                    <xdr:col>1</xdr:col>
                    <xdr:colOff>361950</xdr:colOff>
                    <xdr:row>6</xdr:row>
                    <xdr:rowOff>38100</xdr:rowOff>
                  </from>
                  <to>
                    <xdr:col>5</xdr:col>
                    <xdr:colOff>406400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EF6D0-4074-4CBD-9ECD-FA8832E980AE}">
  <sheetPr codeName="Sheet50"/>
  <dimension ref="A1:AI75"/>
  <sheetViews>
    <sheetView workbookViewId="0">
      <selection activeCell="R7" sqref="R7"/>
    </sheetView>
  </sheetViews>
  <sheetFormatPr defaultRowHeight="14.5" x14ac:dyDescent="0.35"/>
  <cols>
    <col min="1" max="9" width="10.26953125" customWidth="1"/>
    <col min="10" max="11" width="11.26953125" customWidth="1"/>
    <col min="13" max="21" width="10.26953125" customWidth="1"/>
    <col min="22" max="23" width="11.26953125" customWidth="1"/>
    <col min="25" max="33" width="10.26953125" customWidth="1"/>
    <col min="34" max="35" width="11.26953125" customWidth="1"/>
  </cols>
  <sheetData>
    <row r="1" spans="1:35" x14ac:dyDescent="0.35">
      <c r="A1" s="12">
        <v>2020</v>
      </c>
      <c r="B1" s="12"/>
      <c r="C1" s="12"/>
      <c r="D1" s="12"/>
      <c r="E1" s="12"/>
      <c r="F1" s="12"/>
      <c r="G1" s="12"/>
      <c r="H1" s="12"/>
      <c r="I1" s="12"/>
      <c r="M1" s="12">
        <v>2021</v>
      </c>
      <c r="N1" s="12"/>
      <c r="O1" s="12"/>
      <c r="P1" s="12"/>
      <c r="Q1" s="12"/>
      <c r="R1" s="12"/>
      <c r="S1" s="12"/>
      <c r="T1" s="12"/>
      <c r="U1" s="12"/>
      <c r="Y1" s="12">
        <v>2022</v>
      </c>
      <c r="Z1" s="12"/>
      <c r="AA1" s="12"/>
      <c r="AB1" s="12"/>
      <c r="AC1" s="12"/>
      <c r="AD1" s="12"/>
      <c r="AE1" s="12"/>
      <c r="AF1" s="12"/>
      <c r="AG1" s="12"/>
    </row>
    <row r="2" spans="1:35" x14ac:dyDescent="0.35">
      <c r="A2" t="s">
        <v>3</v>
      </c>
      <c r="B2" t="s">
        <v>60</v>
      </c>
      <c r="C2" t="s">
        <v>64</v>
      </c>
      <c r="D2" t="s">
        <v>69</v>
      </c>
      <c r="E2" t="s">
        <v>112</v>
      </c>
      <c r="F2" t="s">
        <v>113</v>
      </c>
      <c r="G2" t="s">
        <v>57</v>
      </c>
      <c r="H2" t="s">
        <v>61</v>
      </c>
      <c r="I2" t="s">
        <v>58</v>
      </c>
      <c r="J2" t="s">
        <v>62</v>
      </c>
      <c r="K2" t="s">
        <v>118</v>
      </c>
      <c r="M2" t="s">
        <v>3</v>
      </c>
      <c r="N2" t="s">
        <v>60</v>
      </c>
      <c r="O2" t="s">
        <v>64</v>
      </c>
      <c r="P2" t="s">
        <v>69</v>
      </c>
      <c r="Q2" t="s">
        <v>112</v>
      </c>
      <c r="R2" t="s">
        <v>113</v>
      </c>
      <c r="S2" t="s">
        <v>57</v>
      </c>
      <c r="T2" t="s">
        <v>61</v>
      </c>
      <c r="U2" t="s">
        <v>58</v>
      </c>
      <c r="V2" t="s">
        <v>62</v>
      </c>
      <c r="W2" t="s">
        <v>118</v>
      </c>
      <c r="Y2" t="s">
        <v>3</v>
      </c>
      <c r="Z2" t="s">
        <v>60</v>
      </c>
      <c r="AA2" t="s">
        <v>64</v>
      </c>
      <c r="AB2" t="s">
        <v>69</v>
      </c>
      <c r="AC2" t="s">
        <v>112</v>
      </c>
      <c r="AD2" t="s">
        <v>113</v>
      </c>
      <c r="AE2" t="s">
        <v>57</v>
      </c>
      <c r="AF2" t="s">
        <v>61</v>
      </c>
      <c r="AG2" t="s">
        <v>58</v>
      </c>
      <c r="AH2" t="s">
        <v>62</v>
      </c>
      <c r="AI2" t="s">
        <v>118</v>
      </c>
    </row>
    <row r="3" spans="1:35" x14ac:dyDescent="0.35">
      <c r="A3" s="4" t="s">
        <v>17</v>
      </c>
      <c r="B3" s="8">
        <v>44155.667361111111</v>
      </c>
      <c r="C3" s="4">
        <v>5.3404000000000004E-3</v>
      </c>
      <c r="D3" s="6">
        <v>57524.83</v>
      </c>
      <c r="E3" s="6">
        <v>99.938269652000002</v>
      </c>
      <c r="F3" s="6">
        <v>307.20560213200002</v>
      </c>
      <c r="G3" s="6">
        <v>207.27</v>
      </c>
      <c r="H3" s="4">
        <v>0</v>
      </c>
      <c r="I3" s="6">
        <v>0</v>
      </c>
      <c r="J3" s="4">
        <v>0</v>
      </c>
      <c r="K3" s="6">
        <v>207.27</v>
      </c>
      <c r="M3" s="4" t="s">
        <v>17</v>
      </c>
      <c r="N3" s="8">
        <v>44337.580555555556</v>
      </c>
      <c r="O3" s="4">
        <v>8.3600000000000005E-4</v>
      </c>
      <c r="P3" s="6">
        <v>37053.760000000002</v>
      </c>
      <c r="Q3" s="6">
        <v>35.83</v>
      </c>
      <c r="R3" s="6">
        <v>30.976943360000003</v>
      </c>
      <c r="S3" s="6">
        <v>0</v>
      </c>
      <c r="T3" s="4">
        <v>0</v>
      </c>
      <c r="U3" s="6">
        <v>-4.8499999999999996</v>
      </c>
      <c r="V3" s="4">
        <v>0</v>
      </c>
      <c r="W3" s="6">
        <v>-4.8499999999999996</v>
      </c>
      <c r="Y3" s="4" t="s">
        <v>12</v>
      </c>
      <c r="Z3" s="20">
        <v>44641</v>
      </c>
      <c r="AA3" s="4">
        <v>11.389999999999999</v>
      </c>
      <c r="AB3" s="6">
        <v>400</v>
      </c>
      <c r="AC3" s="6">
        <v>5698.87</v>
      </c>
      <c r="AD3" s="6">
        <v>4467.3138746377999</v>
      </c>
      <c r="AE3" s="6">
        <v>0.01</v>
      </c>
      <c r="AF3" s="4">
        <v>0</v>
      </c>
      <c r="AG3" s="6">
        <v>-1231.58</v>
      </c>
      <c r="AH3" s="4">
        <v>0</v>
      </c>
      <c r="AI3" s="6">
        <v>-1231.57</v>
      </c>
    </row>
    <row r="4" spans="1:35" x14ac:dyDescent="0.35">
      <c r="A4" s="4"/>
      <c r="B4" s="8"/>
      <c r="C4" s="4"/>
      <c r="D4" s="6"/>
      <c r="E4" s="4"/>
      <c r="F4" s="4"/>
      <c r="G4" s="6"/>
      <c r="H4" s="4"/>
      <c r="I4" s="6"/>
      <c r="J4" s="4"/>
      <c r="K4" s="6"/>
      <c r="M4" s="4" t="s">
        <v>17</v>
      </c>
      <c r="N4" s="8">
        <v>44337.580555555556</v>
      </c>
      <c r="O4" s="4">
        <v>3.6340000000000001E-3</v>
      </c>
      <c r="P4" s="6">
        <v>37049.96</v>
      </c>
      <c r="Q4" s="6">
        <v>155.72999999999999</v>
      </c>
      <c r="R4" s="6">
        <v>134.63955464</v>
      </c>
      <c r="S4" s="6">
        <v>0</v>
      </c>
      <c r="T4" s="4">
        <v>0</v>
      </c>
      <c r="U4" s="6">
        <v>-21.09</v>
      </c>
      <c r="V4" s="4">
        <v>0</v>
      </c>
      <c r="W4" s="6">
        <v>-21.09</v>
      </c>
      <c r="Y4" s="4"/>
      <c r="Z4" s="20"/>
      <c r="AA4" s="4"/>
      <c r="AB4" s="6"/>
      <c r="AC4" s="6"/>
      <c r="AD4" s="4"/>
      <c r="AE4" s="6"/>
      <c r="AF4" s="4"/>
      <c r="AG4" s="6"/>
      <c r="AH4" s="4"/>
      <c r="AI4" s="6"/>
    </row>
    <row r="5" spans="1:35" x14ac:dyDescent="0.35">
      <c r="M5" s="4" t="s">
        <v>17</v>
      </c>
      <c r="N5" s="8">
        <v>44337.580555555556</v>
      </c>
      <c r="O5" s="4">
        <v>4.6747999999999998E-2</v>
      </c>
      <c r="P5" s="6">
        <v>37049.949999999997</v>
      </c>
      <c r="Q5" s="6">
        <v>1799.66</v>
      </c>
      <c r="R5" s="6">
        <v>1732.0110626000001</v>
      </c>
      <c r="S5" s="6">
        <v>41.18</v>
      </c>
      <c r="T5" s="4">
        <v>0</v>
      </c>
      <c r="U5" s="6">
        <v>-108.83</v>
      </c>
      <c r="V5" s="4">
        <v>0</v>
      </c>
      <c r="W5" s="6">
        <v>-67.650000000000006</v>
      </c>
    </row>
    <row r="6" spans="1:35" x14ac:dyDescent="0.35">
      <c r="M6" s="4" t="s">
        <v>16</v>
      </c>
      <c r="N6" s="8">
        <v>44319.083333333336</v>
      </c>
      <c r="O6" s="4">
        <v>599</v>
      </c>
      <c r="P6" s="6">
        <v>0.39</v>
      </c>
      <c r="Q6" s="6">
        <v>47.92</v>
      </c>
      <c r="R6" s="6">
        <v>233.61</v>
      </c>
      <c r="S6" s="6">
        <v>185.69</v>
      </c>
      <c r="T6" s="4">
        <v>0</v>
      </c>
      <c r="U6" s="6">
        <v>0</v>
      </c>
      <c r="V6" s="4">
        <v>0</v>
      </c>
      <c r="W6" s="6">
        <v>185.69</v>
      </c>
    </row>
    <row r="7" spans="1:35" x14ac:dyDescent="0.35">
      <c r="M7" s="4" t="s">
        <v>12</v>
      </c>
      <c r="N7" s="8">
        <v>44313.888888888891</v>
      </c>
      <c r="O7" s="4">
        <v>1.04</v>
      </c>
      <c r="P7" s="6">
        <v>561.54999999999995</v>
      </c>
      <c r="Q7" s="6">
        <v>597.00160000000005</v>
      </c>
      <c r="R7" s="6">
        <v>584.01199999999994</v>
      </c>
      <c r="S7" s="6">
        <v>0</v>
      </c>
      <c r="T7" s="4">
        <v>0</v>
      </c>
      <c r="U7" s="6">
        <v>-12.98</v>
      </c>
      <c r="V7" s="4">
        <v>0</v>
      </c>
      <c r="W7" s="6">
        <v>-12.98</v>
      </c>
    </row>
    <row r="8" spans="1:35" x14ac:dyDescent="0.35">
      <c r="M8" s="4" t="s">
        <v>12</v>
      </c>
      <c r="N8" s="8">
        <v>44335.411111111112</v>
      </c>
      <c r="O8" s="4">
        <v>2.1600999999999999E-3</v>
      </c>
      <c r="P8" s="6">
        <v>354.78</v>
      </c>
      <c r="Q8" s="6">
        <v>0.93</v>
      </c>
      <c r="R8" s="6">
        <v>0.76636027799999984</v>
      </c>
      <c r="S8" s="6">
        <v>0</v>
      </c>
      <c r="T8" s="4">
        <v>0</v>
      </c>
      <c r="U8" s="6">
        <v>-0.16</v>
      </c>
      <c r="V8" s="4">
        <v>0</v>
      </c>
      <c r="W8" s="6">
        <v>-0.16</v>
      </c>
    </row>
    <row r="9" spans="1:35" x14ac:dyDescent="0.35">
      <c r="M9" s="4" t="s">
        <v>12</v>
      </c>
      <c r="N9" s="8">
        <v>44335.48541666667</v>
      </c>
      <c r="O9" s="4">
        <v>4.7919999999999999E-4</v>
      </c>
      <c r="P9" s="6">
        <v>373.47</v>
      </c>
      <c r="Q9" s="6">
        <v>0.21</v>
      </c>
      <c r="R9" s="6">
        <v>0.178966824</v>
      </c>
      <c r="S9" s="6">
        <v>0</v>
      </c>
      <c r="T9" s="4">
        <v>0</v>
      </c>
      <c r="U9" s="6">
        <v>-0.03</v>
      </c>
      <c r="V9" s="4">
        <v>0</v>
      </c>
      <c r="W9" s="6">
        <v>-0.03</v>
      </c>
    </row>
    <row r="10" spans="1:35" x14ac:dyDescent="0.35">
      <c r="M10" s="4" t="s">
        <v>12</v>
      </c>
      <c r="N10" s="8">
        <v>44335.48541666667</v>
      </c>
      <c r="O10" s="4">
        <v>4.0276000000000001E-3</v>
      </c>
      <c r="P10" s="6">
        <v>373.47</v>
      </c>
      <c r="Q10" s="6">
        <v>1.74</v>
      </c>
      <c r="R10" s="6">
        <v>1.5041877720000001</v>
      </c>
      <c r="S10" s="6">
        <v>0</v>
      </c>
      <c r="T10" s="4">
        <v>0</v>
      </c>
      <c r="U10" s="6">
        <v>-0.23</v>
      </c>
      <c r="V10" s="4">
        <v>0</v>
      </c>
      <c r="W10" s="6">
        <v>-0.23</v>
      </c>
    </row>
    <row r="11" spans="1:35" x14ac:dyDescent="0.35">
      <c r="M11" s="4" t="s">
        <v>12</v>
      </c>
      <c r="N11" s="8">
        <v>44335.545138888891</v>
      </c>
      <c r="O11" s="4">
        <v>7.4999999999999993E-5</v>
      </c>
      <c r="P11" s="6">
        <v>401.55</v>
      </c>
      <c r="Q11" s="6">
        <v>0.03</v>
      </c>
      <c r="R11" s="6">
        <v>3.0116249999999997E-2</v>
      </c>
      <c r="S11" s="6">
        <v>0</v>
      </c>
      <c r="T11" s="4">
        <v>0</v>
      </c>
      <c r="U11" s="6">
        <v>0</v>
      </c>
      <c r="V11" s="4">
        <v>0</v>
      </c>
      <c r="W11" s="6">
        <v>0</v>
      </c>
    </row>
    <row r="12" spans="1:35" x14ac:dyDescent="0.35">
      <c r="M12" s="4" t="s">
        <v>12</v>
      </c>
      <c r="N12" s="8">
        <v>44335.546527777777</v>
      </c>
      <c r="O12" s="4">
        <v>7.4999999999999993E-5</v>
      </c>
      <c r="P12" s="6">
        <v>401.92</v>
      </c>
      <c r="Q12" s="6">
        <v>0.03</v>
      </c>
      <c r="R12" s="6">
        <v>3.0143999999999997E-2</v>
      </c>
      <c r="S12" s="6">
        <v>0</v>
      </c>
      <c r="T12" s="4">
        <v>0</v>
      </c>
      <c r="U12" s="6">
        <v>0</v>
      </c>
      <c r="V12" s="4">
        <v>0</v>
      </c>
      <c r="W12" s="6">
        <v>0</v>
      </c>
    </row>
    <row r="13" spans="1:35" x14ac:dyDescent="0.35">
      <c r="M13" s="4" t="s">
        <v>12</v>
      </c>
      <c r="N13" s="8">
        <v>44335.558333333334</v>
      </c>
      <c r="O13" s="4">
        <v>2.1180999999999999E-3</v>
      </c>
      <c r="P13" s="6">
        <v>407.84</v>
      </c>
      <c r="Q13" s="6">
        <v>0.91</v>
      </c>
      <c r="R13" s="6">
        <v>0.86384590399999994</v>
      </c>
      <c r="S13" s="6">
        <v>0</v>
      </c>
      <c r="T13" s="4">
        <v>0</v>
      </c>
      <c r="U13" s="6">
        <v>-0.05</v>
      </c>
      <c r="V13" s="4">
        <v>0</v>
      </c>
      <c r="W13" s="6">
        <v>-0.05</v>
      </c>
    </row>
    <row r="14" spans="1:35" x14ac:dyDescent="0.35">
      <c r="M14" s="4" t="s">
        <v>12</v>
      </c>
      <c r="N14" s="8">
        <v>44335.55972222222</v>
      </c>
      <c r="O14" s="4">
        <v>3.7875000000000001</v>
      </c>
      <c r="P14" s="6">
        <v>404.61</v>
      </c>
      <c r="Q14" s="6">
        <v>1581.38</v>
      </c>
      <c r="R14" s="6">
        <v>1532.4603750000001</v>
      </c>
      <c r="S14" s="6">
        <v>12.14</v>
      </c>
      <c r="T14" s="4">
        <v>0</v>
      </c>
      <c r="U14" s="6">
        <v>-61.06</v>
      </c>
      <c r="V14" s="4">
        <v>0</v>
      </c>
      <c r="W14" s="6">
        <v>-48.92</v>
      </c>
    </row>
    <row r="15" spans="1:35" x14ac:dyDescent="0.35">
      <c r="M15" s="4" t="s">
        <v>12</v>
      </c>
      <c r="N15" s="8">
        <v>44335.55972222222</v>
      </c>
      <c r="O15" s="4">
        <v>6.514E-4</v>
      </c>
      <c r="P15" s="6">
        <v>404.61</v>
      </c>
      <c r="Q15" s="6">
        <v>0.26</v>
      </c>
      <c r="R15" s="6">
        <v>0.26356295400000002</v>
      </c>
      <c r="S15" s="6">
        <v>0.01</v>
      </c>
      <c r="T15" s="4">
        <v>0</v>
      </c>
      <c r="U15" s="6">
        <v>0</v>
      </c>
      <c r="V15" s="4">
        <v>0</v>
      </c>
      <c r="W15" s="6">
        <v>0.01</v>
      </c>
    </row>
    <row r="16" spans="1:35" x14ac:dyDescent="0.35">
      <c r="M16" s="4" t="s">
        <v>12</v>
      </c>
      <c r="N16" s="8">
        <v>44335.560416666667</v>
      </c>
      <c r="O16" s="4">
        <v>2.2220000000000001E-4</v>
      </c>
      <c r="P16" s="6">
        <v>408</v>
      </c>
      <c r="Q16" s="6">
        <v>0.09</v>
      </c>
      <c r="R16" s="6">
        <v>9.0657600000000005E-2</v>
      </c>
      <c r="S16" s="6">
        <v>0</v>
      </c>
      <c r="T16" s="4">
        <v>0</v>
      </c>
      <c r="U16" s="6">
        <v>0</v>
      </c>
      <c r="V16" s="4">
        <v>0</v>
      </c>
      <c r="W16" s="6">
        <v>0</v>
      </c>
    </row>
    <row r="17" spans="13:23" x14ac:dyDescent="0.35">
      <c r="M17" s="4" t="s">
        <v>12</v>
      </c>
      <c r="N17" s="8">
        <v>44335.581250000003</v>
      </c>
      <c r="O17" s="4">
        <v>2.221E-4</v>
      </c>
      <c r="P17" s="6">
        <v>396.51</v>
      </c>
      <c r="Q17" s="6">
        <v>0.09</v>
      </c>
      <c r="R17" s="6">
        <v>8.8064871000000003E-2</v>
      </c>
      <c r="S17" s="6">
        <v>0</v>
      </c>
      <c r="T17" s="4">
        <v>0</v>
      </c>
      <c r="U17" s="6">
        <v>0</v>
      </c>
      <c r="V17" s="4">
        <v>0</v>
      </c>
      <c r="W17" s="6">
        <v>0</v>
      </c>
    </row>
    <row r="18" spans="13:23" x14ac:dyDescent="0.35">
      <c r="M18" s="4" t="s">
        <v>12</v>
      </c>
      <c r="N18" s="8">
        <v>44335.582638888889</v>
      </c>
      <c r="O18" s="4">
        <v>2.221E-4</v>
      </c>
      <c r="P18" s="6">
        <v>395.59</v>
      </c>
      <c r="Q18" s="6">
        <v>0.09</v>
      </c>
      <c r="R18" s="6">
        <v>8.7860539000000001E-2</v>
      </c>
      <c r="S18" s="6">
        <v>0</v>
      </c>
      <c r="T18" s="4">
        <v>0</v>
      </c>
      <c r="U18" s="6">
        <v>0</v>
      </c>
      <c r="V18" s="4">
        <v>0</v>
      </c>
      <c r="W18" s="6">
        <v>0</v>
      </c>
    </row>
    <row r="19" spans="13:23" x14ac:dyDescent="0.35">
      <c r="M19" s="4" t="s">
        <v>12</v>
      </c>
      <c r="N19" s="8">
        <v>44335.582638888889</v>
      </c>
      <c r="O19" s="4">
        <v>1.8452E-3</v>
      </c>
      <c r="P19" s="6">
        <v>395.59</v>
      </c>
      <c r="Q19" s="6">
        <v>0.73</v>
      </c>
      <c r="R19" s="6">
        <v>0.72994266799999996</v>
      </c>
      <c r="S19" s="6">
        <v>0</v>
      </c>
      <c r="T19" s="4">
        <v>0</v>
      </c>
      <c r="U19" s="6">
        <v>0</v>
      </c>
      <c r="V19" s="4">
        <v>0</v>
      </c>
      <c r="W19" s="6">
        <v>0</v>
      </c>
    </row>
    <row r="20" spans="13:23" x14ac:dyDescent="0.35">
      <c r="M20" s="4" t="s">
        <v>12</v>
      </c>
      <c r="N20" s="8">
        <v>44337.958333333336</v>
      </c>
      <c r="O20" s="4">
        <v>1.5E-3</v>
      </c>
      <c r="P20" s="6">
        <v>299.8</v>
      </c>
      <c r="Q20" s="6">
        <v>0.59</v>
      </c>
      <c r="R20" s="6">
        <v>0.44970000000000004</v>
      </c>
      <c r="S20" s="6">
        <v>0</v>
      </c>
      <c r="T20" s="4">
        <v>0</v>
      </c>
      <c r="U20" s="6">
        <v>-0.14000000000000001</v>
      </c>
      <c r="V20" s="4">
        <v>0</v>
      </c>
      <c r="W20" s="6">
        <v>-0.14000000000000001</v>
      </c>
    </row>
    <row r="21" spans="13:23" x14ac:dyDescent="0.35">
      <c r="M21" s="4" t="s">
        <v>12</v>
      </c>
      <c r="N21" s="8">
        <v>44339.370138888888</v>
      </c>
      <c r="O21" s="4">
        <v>1.0349999999999999E-3</v>
      </c>
      <c r="P21" s="6">
        <v>240.58</v>
      </c>
      <c r="Q21" s="6">
        <v>0.41</v>
      </c>
      <c r="R21" s="6">
        <v>0.24900029999999998</v>
      </c>
      <c r="S21" s="6">
        <v>0</v>
      </c>
      <c r="T21" s="4">
        <v>0</v>
      </c>
      <c r="U21" s="6">
        <v>-0.16</v>
      </c>
      <c r="V21" s="4">
        <v>0</v>
      </c>
      <c r="W21" s="6">
        <v>-0.16</v>
      </c>
    </row>
    <row r="22" spans="13:23" x14ac:dyDescent="0.35">
      <c r="M22" s="4" t="s">
        <v>12</v>
      </c>
      <c r="N22" s="8">
        <v>44339.53125</v>
      </c>
      <c r="O22" s="4">
        <v>1.735E-3</v>
      </c>
      <c r="P22" s="6">
        <v>217.98</v>
      </c>
      <c r="Q22" s="6">
        <v>0.69</v>
      </c>
      <c r="R22" s="6">
        <v>0.37819529999999996</v>
      </c>
      <c r="S22" s="6">
        <v>0</v>
      </c>
      <c r="T22" s="4">
        <v>0</v>
      </c>
      <c r="U22" s="6">
        <v>-0.31</v>
      </c>
      <c r="V22" s="4">
        <v>0</v>
      </c>
      <c r="W22" s="6">
        <v>-0.31</v>
      </c>
    </row>
    <row r="23" spans="13:23" x14ac:dyDescent="0.35">
      <c r="M23" s="4" t="s">
        <v>12</v>
      </c>
      <c r="N23" s="8">
        <v>44340.613888888889</v>
      </c>
      <c r="O23" s="4">
        <v>4.0749999999999996E-3</v>
      </c>
      <c r="P23" s="6">
        <v>326.38</v>
      </c>
      <c r="Q23" s="6">
        <v>1.62</v>
      </c>
      <c r="R23" s="6">
        <v>1.3299984999999999</v>
      </c>
      <c r="S23" s="6">
        <v>0</v>
      </c>
      <c r="T23" s="4">
        <v>0</v>
      </c>
      <c r="U23" s="6">
        <v>-0.28999999999999998</v>
      </c>
      <c r="V23" s="4">
        <v>0</v>
      </c>
      <c r="W23" s="6">
        <v>-0.28999999999999998</v>
      </c>
    </row>
    <row r="24" spans="13:23" x14ac:dyDescent="0.35">
      <c r="M24" s="4" t="s">
        <v>12</v>
      </c>
      <c r="N24" s="8">
        <v>44340.613888888889</v>
      </c>
      <c r="O24" s="4">
        <v>0.27295999999999998</v>
      </c>
      <c r="P24" s="6">
        <v>323.33</v>
      </c>
      <c r="Q24" s="6">
        <v>108.2</v>
      </c>
      <c r="R24" s="6">
        <v>88.256156799999985</v>
      </c>
      <c r="S24" s="6">
        <v>0</v>
      </c>
      <c r="T24" s="4">
        <v>0</v>
      </c>
      <c r="U24" s="6">
        <v>-19.940000000000001</v>
      </c>
      <c r="V24" s="4">
        <v>0</v>
      </c>
      <c r="W24" s="6">
        <v>-19.940000000000001</v>
      </c>
    </row>
    <row r="25" spans="13:23" x14ac:dyDescent="0.35">
      <c r="M25" s="4" t="s">
        <v>12</v>
      </c>
      <c r="N25" s="8">
        <v>44340.613888888889</v>
      </c>
      <c r="O25" s="4">
        <v>7.1179999999999995E-4</v>
      </c>
      <c r="P25" s="6">
        <v>323.33</v>
      </c>
      <c r="Q25" s="6">
        <v>0.28000000000000003</v>
      </c>
      <c r="R25" s="6">
        <v>0.23014629399999997</v>
      </c>
      <c r="S25" s="6">
        <v>0</v>
      </c>
      <c r="T25" s="4">
        <v>0</v>
      </c>
      <c r="U25" s="6">
        <v>-0.05</v>
      </c>
      <c r="V25" s="4">
        <v>0</v>
      </c>
      <c r="W25" s="6">
        <v>-0.05</v>
      </c>
    </row>
    <row r="26" spans="13:23" x14ac:dyDescent="0.35">
      <c r="M26" s="4" t="s">
        <v>12</v>
      </c>
      <c r="N26" s="8">
        <v>44340.619444444441</v>
      </c>
      <c r="O26" s="4">
        <v>9.6250000000000003E-4</v>
      </c>
      <c r="P26" s="6">
        <v>325.64</v>
      </c>
      <c r="Q26" s="6">
        <v>0.38</v>
      </c>
      <c r="R26" s="6">
        <v>0.3134285</v>
      </c>
      <c r="S26" s="6">
        <v>0</v>
      </c>
      <c r="T26" s="4">
        <v>0</v>
      </c>
      <c r="U26" s="6">
        <v>-7.0000000000000007E-2</v>
      </c>
      <c r="V26" s="4">
        <v>0</v>
      </c>
      <c r="W26" s="6">
        <v>-7.0000000000000007E-2</v>
      </c>
    </row>
    <row r="27" spans="13:23" x14ac:dyDescent="0.35">
      <c r="M27" s="4" t="s">
        <v>12</v>
      </c>
      <c r="N27" s="8">
        <v>44340.620833333334</v>
      </c>
      <c r="O27" s="4">
        <v>6.0718499999999999E-4</v>
      </c>
      <c r="P27" s="6">
        <v>329.39</v>
      </c>
      <c r="Q27" s="6">
        <v>0.24</v>
      </c>
      <c r="R27" s="6">
        <v>0.20000066714999998</v>
      </c>
      <c r="S27" s="6">
        <v>0</v>
      </c>
      <c r="T27" s="4">
        <v>0</v>
      </c>
      <c r="U27" s="6">
        <v>-0.04</v>
      </c>
      <c r="V27" s="4">
        <v>0</v>
      </c>
      <c r="W27" s="6">
        <v>-0.04</v>
      </c>
    </row>
    <row r="28" spans="13:23" x14ac:dyDescent="0.35">
      <c r="M28" s="4" t="s">
        <v>12</v>
      </c>
      <c r="N28" s="8">
        <v>44340.625</v>
      </c>
      <c r="O28" s="4">
        <v>6.52825E-4</v>
      </c>
      <c r="P28" s="6">
        <v>321.68</v>
      </c>
      <c r="Q28" s="6">
        <v>0.26</v>
      </c>
      <c r="R28" s="6">
        <v>0.21000074600000002</v>
      </c>
      <c r="S28" s="6">
        <v>0</v>
      </c>
      <c r="T28" s="4">
        <v>0</v>
      </c>
      <c r="U28" s="6">
        <v>-0.05</v>
      </c>
      <c r="V28" s="4">
        <v>0</v>
      </c>
      <c r="W28" s="6">
        <v>-0.05</v>
      </c>
    </row>
    <row r="29" spans="13:23" x14ac:dyDescent="0.35">
      <c r="M29" s="4" t="s">
        <v>12</v>
      </c>
      <c r="N29" s="8">
        <v>44340.904374999998</v>
      </c>
      <c r="O29" s="4">
        <v>0.46</v>
      </c>
      <c r="P29" s="6">
        <v>354</v>
      </c>
      <c r="Q29" s="6">
        <v>182.34</v>
      </c>
      <c r="R29" s="6">
        <v>162.84</v>
      </c>
      <c r="S29" s="6">
        <v>0</v>
      </c>
      <c r="T29" s="4">
        <v>0</v>
      </c>
      <c r="U29" s="6">
        <v>-19.5</v>
      </c>
      <c r="V29" s="4">
        <v>0</v>
      </c>
      <c r="W29" s="6">
        <v>-19.5</v>
      </c>
    </row>
    <row r="30" spans="13:23" x14ac:dyDescent="0.35">
      <c r="M30" s="4" t="s">
        <v>12</v>
      </c>
      <c r="N30" s="8">
        <v>44340.904560185183</v>
      </c>
      <c r="O30" s="4">
        <v>0.08</v>
      </c>
      <c r="P30" s="6">
        <v>354</v>
      </c>
      <c r="Q30" s="6">
        <v>31.71</v>
      </c>
      <c r="R30" s="6">
        <v>28.32</v>
      </c>
      <c r="S30" s="6">
        <v>0</v>
      </c>
      <c r="T30" s="4">
        <v>0</v>
      </c>
      <c r="U30" s="6">
        <v>-3.39</v>
      </c>
      <c r="V30" s="4">
        <v>0</v>
      </c>
      <c r="W30" s="6">
        <v>-3.39</v>
      </c>
    </row>
    <row r="31" spans="13:23" x14ac:dyDescent="0.35">
      <c r="M31" s="4" t="s">
        <v>12</v>
      </c>
      <c r="N31" s="8">
        <v>44340.904560185183</v>
      </c>
      <c r="O31" s="4">
        <v>5.13</v>
      </c>
      <c r="P31" s="6">
        <v>354</v>
      </c>
      <c r="Q31" s="6">
        <v>1851.52</v>
      </c>
      <c r="R31" s="6">
        <v>1816.02</v>
      </c>
      <c r="S31" s="6">
        <v>102.1</v>
      </c>
      <c r="T31" s="4">
        <v>0</v>
      </c>
      <c r="U31" s="6">
        <v>-137.6</v>
      </c>
      <c r="V31" s="4">
        <v>0</v>
      </c>
      <c r="W31" s="6">
        <v>-35.5</v>
      </c>
    </row>
    <row r="32" spans="13:23" x14ac:dyDescent="0.35">
      <c r="M32" s="4" t="s">
        <v>12</v>
      </c>
      <c r="N32" s="8">
        <v>44340.904560185183</v>
      </c>
      <c r="O32" s="4">
        <v>4.2580999999999999E-3</v>
      </c>
      <c r="P32" s="6">
        <v>354</v>
      </c>
      <c r="Q32" s="6">
        <v>1.28</v>
      </c>
      <c r="R32" s="6">
        <v>1.5073673999999999</v>
      </c>
      <c r="S32" s="6">
        <v>0.23</v>
      </c>
      <c r="T32" s="4">
        <v>0</v>
      </c>
      <c r="U32" s="6">
        <v>0</v>
      </c>
      <c r="V32" s="4">
        <v>0</v>
      </c>
      <c r="W32" s="6">
        <v>0.23</v>
      </c>
    </row>
    <row r="33" spans="13:23" x14ac:dyDescent="0.35">
      <c r="M33" s="4" t="s">
        <v>12</v>
      </c>
      <c r="N33" s="8">
        <v>44344.158333333333</v>
      </c>
      <c r="O33" s="4">
        <v>6.3210000000000002E-4</v>
      </c>
      <c r="P33" s="6">
        <v>363.9</v>
      </c>
      <c r="Q33" s="6">
        <v>0.19</v>
      </c>
      <c r="R33" s="6">
        <v>0.23002118999999999</v>
      </c>
      <c r="S33" s="6">
        <v>0.04</v>
      </c>
      <c r="T33" s="4">
        <v>0</v>
      </c>
      <c r="U33" s="6">
        <v>0</v>
      </c>
      <c r="V33" s="4">
        <v>0</v>
      </c>
      <c r="W33" s="6">
        <v>0.04</v>
      </c>
    </row>
    <row r="34" spans="13:23" x14ac:dyDescent="0.35">
      <c r="M34" s="4" t="s">
        <v>12</v>
      </c>
      <c r="N34" s="8">
        <v>44344.158333333333</v>
      </c>
      <c r="O34" s="4">
        <v>6.0249999999999995E-4</v>
      </c>
      <c r="P34" s="6">
        <v>132.78</v>
      </c>
      <c r="Q34" s="6">
        <v>0.18</v>
      </c>
      <c r="R34" s="6">
        <v>7.999995E-2</v>
      </c>
      <c r="S34" s="6">
        <v>0</v>
      </c>
      <c r="T34" s="4">
        <v>0</v>
      </c>
      <c r="U34" s="6">
        <v>-0.1</v>
      </c>
      <c r="V34" s="4">
        <v>0</v>
      </c>
      <c r="W34" s="6">
        <v>-0.1</v>
      </c>
    </row>
    <row r="35" spans="13:23" x14ac:dyDescent="0.35">
      <c r="M35" s="4" t="s">
        <v>12</v>
      </c>
      <c r="N35" s="8">
        <v>44344.159722222219</v>
      </c>
      <c r="O35" s="4">
        <v>2.221E-4</v>
      </c>
      <c r="P35" s="6">
        <v>360.2</v>
      </c>
      <c r="Q35" s="6">
        <v>7.0000000000000007E-2</v>
      </c>
      <c r="R35" s="6">
        <v>8.0000420000000003E-2</v>
      </c>
      <c r="S35" s="6">
        <v>0.01</v>
      </c>
      <c r="T35" s="4">
        <v>0</v>
      </c>
      <c r="U35" s="6">
        <v>0</v>
      </c>
      <c r="V35" s="4">
        <v>0</v>
      </c>
      <c r="W35" s="6">
        <v>0.01</v>
      </c>
    </row>
    <row r="36" spans="13:23" x14ac:dyDescent="0.35">
      <c r="M36" s="4" t="s">
        <v>12</v>
      </c>
      <c r="N36" s="8">
        <v>44344.160416666666</v>
      </c>
      <c r="O36" s="4">
        <v>8.4900000000000004E-4</v>
      </c>
      <c r="P36" s="6">
        <v>353.36</v>
      </c>
      <c r="Q36" s="6">
        <v>0.25</v>
      </c>
      <c r="R36" s="6">
        <v>0.30000264000000004</v>
      </c>
      <c r="S36" s="6">
        <v>0.05</v>
      </c>
      <c r="T36" s="4">
        <v>0</v>
      </c>
      <c r="U36" s="6">
        <v>0</v>
      </c>
      <c r="V36" s="4">
        <v>0</v>
      </c>
      <c r="W36" s="6">
        <v>0.05</v>
      </c>
    </row>
    <row r="37" spans="13:23" x14ac:dyDescent="0.35">
      <c r="M37" s="4" t="s">
        <v>12</v>
      </c>
      <c r="N37" s="8">
        <v>44344.161111111112</v>
      </c>
      <c r="O37" s="4">
        <v>1.1538E-3</v>
      </c>
      <c r="P37" s="6">
        <v>355.36</v>
      </c>
      <c r="Q37" s="6">
        <v>0.35</v>
      </c>
      <c r="R37" s="6">
        <v>0.41001436800000002</v>
      </c>
      <c r="S37" s="6">
        <v>0.06</v>
      </c>
      <c r="T37" s="4">
        <v>0</v>
      </c>
      <c r="U37" s="6">
        <v>0</v>
      </c>
      <c r="V37" s="4">
        <v>0</v>
      </c>
      <c r="W37" s="6">
        <v>0.06</v>
      </c>
    </row>
    <row r="38" spans="13:23" x14ac:dyDescent="0.35">
      <c r="M38" s="4" t="s">
        <v>12</v>
      </c>
      <c r="N38" s="8">
        <v>44344.161111111112</v>
      </c>
      <c r="O38" s="4">
        <v>3.813E-4</v>
      </c>
      <c r="P38" s="6">
        <v>367.21</v>
      </c>
      <c r="Q38" s="6">
        <v>0.11</v>
      </c>
      <c r="R38" s="6">
        <v>0.14001717299999999</v>
      </c>
      <c r="S38" s="6">
        <v>0.03</v>
      </c>
      <c r="T38" s="4">
        <v>0</v>
      </c>
      <c r="U38" s="6">
        <v>0</v>
      </c>
      <c r="V38" s="4">
        <v>0</v>
      </c>
      <c r="W38" s="6">
        <v>0.03</v>
      </c>
    </row>
    <row r="39" spans="13:23" x14ac:dyDescent="0.35">
      <c r="M39" s="4" t="s">
        <v>12</v>
      </c>
      <c r="N39" s="8">
        <v>44344.163888888892</v>
      </c>
      <c r="O39" s="4">
        <v>7.4999999999999993E-5</v>
      </c>
      <c r="P39" s="6">
        <v>353.22</v>
      </c>
      <c r="Q39" s="6">
        <v>0.02</v>
      </c>
      <c r="R39" s="6">
        <v>2.6491500000000001E-2</v>
      </c>
      <c r="S39" s="6">
        <v>0</v>
      </c>
      <c r="T39" s="4">
        <v>0</v>
      </c>
      <c r="U39" s="6">
        <v>0</v>
      </c>
      <c r="V39" s="4">
        <v>0</v>
      </c>
      <c r="W39" s="6">
        <v>0</v>
      </c>
    </row>
    <row r="40" spans="13:23" x14ac:dyDescent="0.35">
      <c r="M40" s="4" t="s">
        <v>12</v>
      </c>
      <c r="N40" s="8">
        <v>44344.165277777778</v>
      </c>
      <c r="O40" s="4">
        <v>3.5</v>
      </c>
      <c r="P40" s="6">
        <v>365.06</v>
      </c>
      <c r="Q40" s="6">
        <v>802.99</v>
      </c>
      <c r="R40" s="6">
        <v>1277.71</v>
      </c>
      <c r="S40" s="6">
        <v>474.72</v>
      </c>
      <c r="T40" s="4">
        <v>0</v>
      </c>
      <c r="U40" s="6">
        <v>0</v>
      </c>
      <c r="V40" s="4">
        <v>0</v>
      </c>
      <c r="W40" s="6">
        <v>474.72</v>
      </c>
    </row>
    <row r="41" spans="13:23" x14ac:dyDescent="0.35">
      <c r="M41" s="4" t="s">
        <v>12</v>
      </c>
      <c r="N41" s="8">
        <v>44344.165277777778</v>
      </c>
      <c r="O41" s="4">
        <v>0.13001641659999999</v>
      </c>
      <c r="P41" s="6">
        <v>365.06</v>
      </c>
      <c r="Q41" s="6">
        <v>28.33</v>
      </c>
      <c r="R41" s="6">
        <v>47.463793043995999</v>
      </c>
      <c r="S41" s="6">
        <v>19.13</v>
      </c>
      <c r="T41" s="4">
        <v>0</v>
      </c>
      <c r="U41" s="6">
        <v>0</v>
      </c>
      <c r="V41" s="4">
        <v>0</v>
      </c>
      <c r="W41" s="6">
        <v>19.13</v>
      </c>
    </row>
    <row r="42" spans="13:23" x14ac:dyDescent="0.35">
      <c r="M42" s="4" t="s">
        <v>12</v>
      </c>
      <c r="N42" s="8">
        <v>44347.972037037034</v>
      </c>
      <c r="O42" s="4">
        <v>1.017E-2</v>
      </c>
      <c r="P42" s="6">
        <v>352.3</v>
      </c>
      <c r="Q42" s="6">
        <v>2.2200000000000002</v>
      </c>
      <c r="R42" s="6">
        <v>3.582891</v>
      </c>
      <c r="S42" s="6">
        <v>1.37</v>
      </c>
      <c r="T42" s="4">
        <v>0</v>
      </c>
      <c r="U42" s="6">
        <v>0</v>
      </c>
      <c r="V42" s="4">
        <v>0</v>
      </c>
      <c r="W42" s="6">
        <v>1.37</v>
      </c>
    </row>
    <row r="43" spans="13:23" x14ac:dyDescent="0.35">
      <c r="M43" s="4" t="s">
        <v>12</v>
      </c>
      <c r="N43" s="8">
        <v>44347.978587962964</v>
      </c>
      <c r="O43" s="4">
        <v>7.4999999999999993E-5</v>
      </c>
      <c r="P43" s="6">
        <v>351.65</v>
      </c>
      <c r="Q43" s="6">
        <v>0.02</v>
      </c>
      <c r="R43" s="6">
        <v>2.6373749999999994E-2</v>
      </c>
      <c r="S43" s="6">
        <v>0.01</v>
      </c>
      <c r="T43" s="4">
        <v>0</v>
      </c>
      <c r="U43" s="6">
        <v>0</v>
      </c>
      <c r="V43" s="4">
        <v>0</v>
      </c>
      <c r="W43" s="6">
        <v>0.01</v>
      </c>
    </row>
    <row r="44" spans="13:23" x14ac:dyDescent="0.35">
      <c r="M44" s="4" t="s">
        <v>12</v>
      </c>
      <c r="N44" s="8">
        <v>44347.981076388889</v>
      </c>
      <c r="O44" s="4">
        <v>4.0749999999999996E-3</v>
      </c>
      <c r="P44" s="6">
        <v>351.32</v>
      </c>
      <c r="Q44" s="6">
        <v>0.89</v>
      </c>
      <c r="R44" s="6">
        <v>1.4316289999999998</v>
      </c>
      <c r="S44" s="6">
        <v>0.54</v>
      </c>
      <c r="T44" s="4">
        <v>0</v>
      </c>
      <c r="U44" s="6">
        <v>0</v>
      </c>
      <c r="V44" s="4">
        <v>0</v>
      </c>
      <c r="W44" s="6">
        <v>0.54</v>
      </c>
    </row>
    <row r="45" spans="13:23" x14ac:dyDescent="0.35">
      <c r="M45" s="4" t="s">
        <v>12</v>
      </c>
      <c r="N45" s="8">
        <v>44347.983113425929</v>
      </c>
      <c r="O45" s="4">
        <v>13.681322</v>
      </c>
      <c r="P45" s="6">
        <v>351.74</v>
      </c>
      <c r="Q45" s="6">
        <v>4800.63</v>
      </c>
      <c r="R45" s="6">
        <v>4812.2682002799993</v>
      </c>
      <c r="S45" s="6">
        <v>19.22</v>
      </c>
      <c r="T45" s="4">
        <v>0</v>
      </c>
      <c r="U45" s="6">
        <v>-7.58</v>
      </c>
      <c r="V45" s="4">
        <v>0</v>
      </c>
      <c r="W45" s="6">
        <v>11.64</v>
      </c>
    </row>
    <row r="46" spans="13:23" x14ac:dyDescent="0.35">
      <c r="M46" s="4" t="s">
        <v>12</v>
      </c>
      <c r="N46" s="8">
        <v>44347.983113425929</v>
      </c>
      <c r="O46" s="4">
        <v>6.7179999999999996E-4</v>
      </c>
      <c r="P46" s="6">
        <v>350.1</v>
      </c>
      <c r="Q46" s="6">
        <v>0.24</v>
      </c>
      <c r="R46" s="6">
        <v>0.23519718000000001</v>
      </c>
      <c r="S46" s="6">
        <v>0</v>
      </c>
      <c r="T46" s="4">
        <v>0</v>
      </c>
      <c r="U46" s="6">
        <v>0</v>
      </c>
      <c r="V46" s="4">
        <v>0</v>
      </c>
      <c r="W46" s="6">
        <v>0</v>
      </c>
    </row>
    <row r="47" spans="13:23" x14ac:dyDescent="0.35">
      <c r="M47" s="4" t="s">
        <v>12</v>
      </c>
      <c r="N47" s="8">
        <v>44347.987361111111</v>
      </c>
      <c r="O47" s="4">
        <v>1.2042999999999999E-3</v>
      </c>
      <c r="P47" s="6">
        <v>352.1</v>
      </c>
      <c r="Q47" s="6">
        <v>0.42</v>
      </c>
      <c r="R47" s="6">
        <v>0.42403403000000001</v>
      </c>
      <c r="S47" s="6">
        <v>0</v>
      </c>
      <c r="T47" s="4">
        <v>0</v>
      </c>
      <c r="U47" s="6">
        <v>0</v>
      </c>
      <c r="V47" s="4">
        <v>0</v>
      </c>
      <c r="W47" s="6">
        <v>0</v>
      </c>
    </row>
    <row r="48" spans="13:23" x14ac:dyDescent="0.35">
      <c r="M48" s="4" t="s">
        <v>12</v>
      </c>
      <c r="N48" s="8">
        <v>44376.565972222219</v>
      </c>
      <c r="O48" s="4">
        <v>9.0959999999999999E-4</v>
      </c>
      <c r="P48" s="6">
        <v>294.86</v>
      </c>
      <c r="Q48" s="6">
        <v>0.32</v>
      </c>
      <c r="R48" s="6">
        <v>0.26820465599999999</v>
      </c>
      <c r="S48" s="6">
        <v>0</v>
      </c>
      <c r="T48" s="4">
        <v>0</v>
      </c>
      <c r="U48" s="6">
        <v>-0.05</v>
      </c>
      <c r="V48" s="4">
        <v>0</v>
      </c>
      <c r="W48" s="6">
        <v>-0.05</v>
      </c>
    </row>
    <row r="49" spans="13:23" x14ac:dyDescent="0.35">
      <c r="M49" s="4" t="s">
        <v>12</v>
      </c>
      <c r="N49" s="8">
        <v>44376.565972222219</v>
      </c>
      <c r="O49" s="4">
        <v>2.027E-2</v>
      </c>
      <c r="P49" s="6">
        <v>294.86</v>
      </c>
      <c r="Q49" s="6">
        <v>7.28</v>
      </c>
      <c r="R49" s="6">
        <v>5.9768122000000004</v>
      </c>
      <c r="S49" s="6">
        <v>0</v>
      </c>
      <c r="T49" s="4">
        <v>0</v>
      </c>
      <c r="U49" s="6">
        <v>-1.3</v>
      </c>
      <c r="V49" s="4">
        <v>0</v>
      </c>
      <c r="W49" s="6">
        <v>-1.3</v>
      </c>
    </row>
    <row r="50" spans="13:23" x14ac:dyDescent="0.35">
      <c r="M50" s="4" t="s">
        <v>12</v>
      </c>
      <c r="N50" s="8">
        <v>44543.472916666666</v>
      </c>
      <c r="O50" s="4">
        <v>7.1000000000000005E-5</v>
      </c>
      <c r="P50" s="6">
        <v>526.91</v>
      </c>
      <c r="Q50" s="6">
        <v>0.04</v>
      </c>
      <c r="R50" s="6">
        <v>3.7410609999999997E-2</v>
      </c>
      <c r="S50" s="6">
        <v>0</v>
      </c>
      <c r="T50" s="4">
        <v>0</v>
      </c>
      <c r="U50" s="6">
        <v>0</v>
      </c>
      <c r="V50" s="4">
        <v>0</v>
      </c>
      <c r="W50" s="6">
        <v>0</v>
      </c>
    </row>
    <row r="51" spans="13:23" x14ac:dyDescent="0.35">
      <c r="M51" s="4" t="s">
        <v>12</v>
      </c>
      <c r="N51" s="8">
        <v>44545.864583333336</v>
      </c>
      <c r="O51" s="4">
        <v>7.1000000000000005E-5</v>
      </c>
      <c r="P51" s="6">
        <v>530.19000000000005</v>
      </c>
      <c r="Q51" s="6">
        <v>0.04</v>
      </c>
      <c r="R51" s="6">
        <v>3.7643490000000009E-2</v>
      </c>
      <c r="S51" s="6">
        <v>0</v>
      </c>
      <c r="T51" s="4">
        <v>0</v>
      </c>
      <c r="U51" s="6">
        <v>0</v>
      </c>
      <c r="V51" s="4">
        <v>0</v>
      </c>
      <c r="W51" s="6">
        <v>0</v>
      </c>
    </row>
    <row r="52" spans="13:23" x14ac:dyDescent="0.35">
      <c r="M52" s="4" t="s">
        <v>12</v>
      </c>
      <c r="N52" s="8">
        <v>44551.440972222219</v>
      </c>
      <c r="O52" s="4">
        <v>3.3322499999999998E-4</v>
      </c>
      <c r="P52" s="6">
        <v>510.17</v>
      </c>
      <c r="Q52" s="6">
        <v>0.18</v>
      </c>
      <c r="R52" s="6">
        <v>0.16999999870499999</v>
      </c>
      <c r="S52" s="6">
        <v>0</v>
      </c>
      <c r="T52" s="4">
        <v>0</v>
      </c>
      <c r="U52" s="6">
        <v>-0.01</v>
      </c>
      <c r="V52" s="4">
        <v>0</v>
      </c>
      <c r="W52" s="6">
        <v>-0.01</v>
      </c>
    </row>
    <row r="53" spans="13:23" x14ac:dyDescent="0.35">
      <c r="M53" s="4" t="s">
        <v>12</v>
      </c>
      <c r="N53" s="8">
        <v>44551.441666666666</v>
      </c>
      <c r="O53" s="4">
        <v>1.9275850000000001E-3</v>
      </c>
      <c r="P53" s="6">
        <v>510.17</v>
      </c>
      <c r="Q53" s="6">
        <v>1.04</v>
      </c>
      <c r="R53" s="6">
        <v>0.98338794359300008</v>
      </c>
      <c r="S53" s="6">
        <v>0</v>
      </c>
      <c r="T53" s="4">
        <v>0</v>
      </c>
      <c r="U53" s="6">
        <v>-0.05</v>
      </c>
      <c r="V53" s="4">
        <v>0</v>
      </c>
      <c r="W53" s="6">
        <v>-0.05</v>
      </c>
    </row>
    <row r="54" spans="13:23" x14ac:dyDescent="0.35">
      <c r="M54" s="4" t="s">
        <v>12</v>
      </c>
      <c r="N54" s="8">
        <v>44551.441666666666</v>
      </c>
      <c r="O54" s="4">
        <v>2.0000000000000001E-4</v>
      </c>
      <c r="P54" s="6">
        <v>510.17</v>
      </c>
      <c r="Q54" s="6">
        <v>0.11</v>
      </c>
      <c r="R54" s="6">
        <v>0.10203316</v>
      </c>
      <c r="S54" s="6">
        <v>0</v>
      </c>
      <c r="T54" s="4">
        <v>0</v>
      </c>
      <c r="U54" s="6">
        <v>-0.01</v>
      </c>
      <c r="V54" s="4">
        <v>0</v>
      </c>
      <c r="W54" s="6">
        <v>-0.01</v>
      </c>
    </row>
    <row r="55" spans="13:23" x14ac:dyDescent="0.35">
      <c r="M55" s="4" t="s">
        <v>12</v>
      </c>
      <c r="N55" s="8">
        <v>44551.442361111112</v>
      </c>
      <c r="O55" s="4">
        <v>5.0000000000000001E-3</v>
      </c>
      <c r="P55" s="6">
        <v>510.17</v>
      </c>
      <c r="Q55" s="6">
        <v>2.69</v>
      </c>
      <c r="R55" s="6">
        <v>2.5508289999999998</v>
      </c>
      <c r="S55" s="6">
        <v>0</v>
      </c>
      <c r="T55" s="4">
        <v>0</v>
      </c>
      <c r="U55" s="6">
        <v>-0.14000000000000001</v>
      </c>
      <c r="V55" s="4">
        <v>0</v>
      </c>
      <c r="W55" s="6">
        <v>-0.14000000000000001</v>
      </c>
    </row>
    <row r="56" spans="13:23" x14ac:dyDescent="0.35">
      <c r="M56" s="4" t="s">
        <v>12</v>
      </c>
      <c r="N56" s="8">
        <v>44551.481249999997</v>
      </c>
      <c r="O56" s="4">
        <v>4.2549999999999997E-5</v>
      </c>
      <c r="P56" s="6">
        <v>534.04</v>
      </c>
      <c r="Q56" s="6">
        <v>0.02</v>
      </c>
      <c r="R56" s="6">
        <v>2.2723401999999997E-2</v>
      </c>
      <c r="S56" s="6">
        <v>0</v>
      </c>
      <c r="T56" s="4">
        <v>0</v>
      </c>
      <c r="U56" s="6">
        <v>0</v>
      </c>
      <c r="V56" s="4">
        <v>0</v>
      </c>
      <c r="W56" s="6">
        <v>0</v>
      </c>
    </row>
    <row r="57" spans="13:23" x14ac:dyDescent="0.35">
      <c r="M57" s="4" t="s">
        <v>12</v>
      </c>
      <c r="N57" s="8">
        <v>44553.38958333333</v>
      </c>
      <c r="O57" s="4">
        <v>1.3689E-4</v>
      </c>
      <c r="P57" s="6">
        <v>524.52</v>
      </c>
      <c r="Q57" s="6">
        <v>7.0000000000000007E-2</v>
      </c>
      <c r="R57" s="6">
        <v>7.1801542799999993E-2</v>
      </c>
      <c r="S57" s="6">
        <v>0</v>
      </c>
      <c r="T57" s="4">
        <v>0</v>
      </c>
      <c r="U57" s="6">
        <v>0</v>
      </c>
      <c r="V57" s="4">
        <v>0</v>
      </c>
      <c r="W57" s="6">
        <v>0</v>
      </c>
    </row>
    <row r="58" spans="13:23" x14ac:dyDescent="0.35">
      <c r="M58" s="4" t="s">
        <v>12</v>
      </c>
      <c r="N58" s="8">
        <v>44560.5625</v>
      </c>
      <c r="O58" s="4">
        <v>1.7263000000000001E-4</v>
      </c>
      <c r="P58" s="6">
        <v>521.69000000000005</v>
      </c>
      <c r="Q58" s="6">
        <v>0.09</v>
      </c>
      <c r="R58" s="6">
        <v>9.0059344700000016E-2</v>
      </c>
      <c r="S58" s="6">
        <v>0</v>
      </c>
      <c r="T58" s="4">
        <v>0</v>
      </c>
      <c r="U58" s="6">
        <v>0</v>
      </c>
      <c r="V58" s="4">
        <v>0</v>
      </c>
      <c r="W58" s="6">
        <v>0</v>
      </c>
    </row>
    <row r="59" spans="13:23" x14ac:dyDescent="0.35">
      <c r="M59" s="4" t="s">
        <v>12</v>
      </c>
      <c r="N59" s="8">
        <v>44560.5625</v>
      </c>
      <c r="O59" s="4">
        <v>1.7995000000000001E-4</v>
      </c>
      <c r="P59" s="6">
        <v>521.69000000000005</v>
      </c>
      <c r="Q59" s="6">
        <v>0.1</v>
      </c>
      <c r="R59" s="6">
        <v>9.3878115500000012E-2</v>
      </c>
      <c r="S59" s="6">
        <v>0</v>
      </c>
      <c r="T59" s="4">
        <v>0</v>
      </c>
      <c r="U59" s="6">
        <v>0</v>
      </c>
      <c r="V59" s="4">
        <v>0</v>
      </c>
      <c r="W59" s="6">
        <v>0</v>
      </c>
    </row>
    <row r="60" spans="13:23" x14ac:dyDescent="0.35">
      <c r="M60" s="4" t="s">
        <v>12</v>
      </c>
      <c r="N60" s="8">
        <v>44560.5625</v>
      </c>
      <c r="O60" s="4">
        <v>7.8990000000000001E-5</v>
      </c>
      <c r="P60" s="6">
        <v>521.69000000000005</v>
      </c>
      <c r="Q60" s="6">
        <v>0.04</v>
      </c>
      <c r="R60" s="6">
        <v>4.1208293100000008E-2</v>
      </c>
      <c r="S60" s="6">
        <v>0</v>
      </c>
      <c r="T60" s="4">
        <v>0</v>
      </c>
      <c r="U60" s="6">
        <v>0</v>
      </c>
      <c r="V60" s="4">
        <v>0</v>
      </c>
      <c r="W60" s="6">
        <v>0</v>
      </c>
    </row>
    <row r="61" spans="13:23" x14ac:dyDescent="0.35">
      <c r="M61" s="4" t="s">
        <v>14</v>
      </c>
      <c r="N61" s="8">
        <v>44376.565972222219</v>
      </c>
      <c r="O61" s="4">
        <v>51.59</v>
      </c>
      <c r="P61" s="6">
        <v>12.06</v>
      </c>
      <c r="Q61" s="6">
        <v>861.48700000000008</v>
      </c>
      <c r="R61" s="6">
        <v>622.17540000000008</v>
      </c>
      <c r="S61" s="6">
        <v>0</v>
      </c>
      <c r="T61" s="4">
        <v>0</v>
      </c>
      <c r="U61" s="6">
        <v>-239.31</v>
      </c>
      <c r="V61" s="4">
        <v>0</v>
      </c>
      <c r="W61" s="6">
        <v>-239.31</v>
      </c>
    </row>
    <row r="62" spans="13:23" x14ac:dyDescent="0.35">
      <c r="M62" s="4" t="s">
        <v>18</v>
      </c>
      <c r="N62" s="8">
        <v>44326.71875</v>
      </c>
      <c r="O62" s="4">
        <v>0.13897799999999999</v>
      </c>
      <c r="P62" s="6">
        <v>4177.34</v>
      </c>
      <c r="Q62" s="6">
        <v>419.92202699999996</v>
      </c>
      <c r="R62" s="6">
        <v>580.55835851999996</v>
      </c>
      <c r="S62" s="6">
        <v>160.63999999999999</v>
      </c>
      <c r="T62" s="4">
        <v>0</v>
      </c>
      <c r="U62" s="6">
        <v>0</v>
      </c>
      <c r="V62" s="4">
        <v>0</v>
      </c>
      <c r="W62" s="6">
        <v>160.63999999999999</v>
      </c>
    </row>
    <row r="63" spans="13:23" x14ac:dyDescent="0.35">
      <c r="M63" s="4" t="s">
        <v>18</v>
      </c>
      <c r="N63" s="8">
        <v>44560.5625</v>
      </c>
      <c r="O63" s="4">
        <v>4.5000000000000005E-3</v>
      </c>
      <c r="P63" s="6">
        <v>3750</v>
      </c>
      <c r="Q63" s="6">
        <v>16.88</v>
      </c>
      <c r="R63" s="6">
        <v>16.875000000000004</v>
      </c>
      <c r="S63" s="6">
        <v>0</v>
      </c>
      <c r="T63" s="4">
        <v>0</v>
      </c>
      <c r="U63" s="6">
        <v>0</v>
      </c>
      <c r="V63" s="4">
        <v>0</v>
      </c>
      <c r="W63" s="6">
        <v>0</v>
      </c>
    </row>
    <row r="64" spans="13:23" x14ac:dyDescent="0.35">
      <c r="M64" s="4" t="s">
        <v>18</v>
      </c>
      <c r="N64" s="8">
        <v>44560.5625</v>
      </c>
      <c r="O64" s="4">
        <v>9.202231206E-3</v>
      </c>
      <c r="P64" s="6">
        <v>3744.74</v>
      </c>
      <c r="Q64" s="6">
        <v>34.51</v>
      </c>
      <c r="R64" s="6">
        <v>34.460000095281266</v>
      </c>
      <c r="S64" s="6">
        <v>0</v>
      </c>
      <c r="T64" s="4">
        <v>0</v>
      </c>
      <c r="U64" s="6">
        <v>-0.05</v>
      </c>
      <c r="V64" s="4">
        <v>0</v>
      </c>
      <c r="W64" s="6">
        <v>-0.05</v>
      </c>
    </row>
    <row r="65" spans="13:23" x14ac:dyDescent="0.35">
      <c r="M65" s="4" t="s">
        <v>20</v>
      </c>
      <c r="N65" s="8">
        <v>44364.502083333333</v>
      </c>
      <c r="O65" s="4">
        <v>735.03892900000005</v>
      </c>
      <c r="P65" s="6">
        <v>0.55000000000000004</v>
      </c>
      <c r="Q65" s="6">
        <v>984.95216486000004</v>
      </c>
      <c r="R65" s="6">
        <v>404.27141095000007</v>
      </c>
      <c r="S65" s="6">
        <v>0</v>
      </c>
      <c r="T65" s="4">
        <v>0</v>
      </c>
      <c r="U65" s="6">
        <v>-580.67999999999995</v>
      </c>
      <c r="V65" s="4">
        <v>0</v>
      </c>
      <c r="W65" s="6">
        <v>-580.67999999999995</v>
      </c>
    </row>
    <row r="66" spans="13:23" x14ac:dyDescent="0.35">
      <c r="M66" s="4" t="s">
        <v>22</v>
      </c>
      <c r="N66" s="8">
        <v>44335.48541666667</v>
      </c>
      <c r="O66" s="4">
        <v>109.7</v>
      </c>
      <c r="P66" s="6">
        <v>2.17</v>
      </c>
      <c r="Q66" s="6">
        <v>103.11800000000001</v>
      </c>
      <c r="R66" s="6">
        <v>238.04900000000001</v>
      </c>
      <c r="S66" s="6">
        <v>134.93</v>
      </c>
      <c r="T66" s="4">
        <v>0</v>
      </c>
      <c r="U66" s="6">
        <v>0</v>
      </c>
      <c r="V66" s="4">
        <v>0</v>
      </c>
      <c r="W66" s="6">
        <v>134.93</v>
      </c>
    </row>
    <row r="67" spans="13:23" x14ac:dyDescent="0.35">
      <c r="M67" s="4" t="s">
        <v>22</v>
      </c>
      <c r="N67" s="8">
        <v>44335.48541666667</v>
      </c>
      <c r="O67" s="4">
        <v>921.3</v>
      </c>
      <c r="P67" s="6">
        <v>2.17</v>
      </c>
      <c r="Q67" s="6">
        <v>866.02199999999993</v>
      </c>
      <c r="R67" s="6">
        <v>1999.2209999999998</v>
      </c>
      <c r="S67" s="6">
        <v>1133.2</v>
      </c>
      <c r="T67" s="4">
        <v>0</v>
      </c>
      <c r="U67" s="6">
        <v>0</v>
      </c>
      <c r="V67" s="4">
        <v>0</v>
      </c>
      <c r="W67" s="6">
        <v>1133.2</v>
      </c>
    </row>
    <row r="68" spans="13:23" x14ac:dyDescent="0.35">
      <c r="M68" s="4" t="s">
        <v>21</v>
      </c>
      <c r="N68" s="8">
        <v>44376.565972222219</v>
      </c>
      <c r="O68" s="4">
        <v>4491</v>
      </c>
      <c r="P68" s="6">
        <v>0.08</v>
      </c>
      <c r="Q68" s="6">
        <v>943.11</v>
      </c>
      <c r="R68" s="6">
        <v>359.28000000000003</v>
      </c>
      <c r="S68" s="6">
        <v>0</v>
      </c>
      <c r="T68" s="4">
        <v>0</v>
      </c>
      <c r="U68" s="6">
        <v>-583.83000000000004</v>
      </c>
      <c r="V68" s="4">
        <v>0</v>
      </c>
      <c r="W68" s="6">
        <v>-583.83000000000004</v>
      </c>
    </row>
    <row r="69" spans="13:23" x14ac:dyDescent="0.35">
      <c r="M69" s="4" t="s">
        <v>25</v>
      </c>
      <c r="N69" s="8">
        <v>44551.441666666666</v>
      </c>
      <c r="O69" s="4">
        <v>494.9778622</v>
      </c>
      <c r="P69" s="6">
        <v>11.84</v>
      </c>
      <c r="Q69" s="6">
        <v>9073.0593683590014</v>
      </c>
      <c r="R69" s="6">
        <v>5853.0547506815983</v>
      </c>
      <c r="S69" s="6">
        <v>3.45</v>
      </c>
      <c r="T69" s="4">
        <v>0</v>
      </c>
      <c r="U69" s="6">
        <v>-3223.47</v>
      </c>
      <c r="V69" s="4">
        <v>0</v>
      </c>
      <c r="W69" s="6">
        <v>-3220.02</v>
      </c>
    </row>
    <row r="70" spans="13:23" x14ac:dyDescent="0.35">
      <c r="M70" s="4" t="s">
        <v>109</v>
      </c>
      <c r="N70" s="8">
        <v>44560.5625</v>
      </c>
      <c r="O70" s="4">
        <v>506.47</v>
      </c>
      <c r="P70" s="6">
        <v>1</v>
      </c>
      <c r="Q70" s="6">
        <v>506.47</v>
      </c>
      <c r="R70" s="6">
        <v>506.47</v>
      </c>
      <c r="S70" s="6">
        <v>0</v>
      </c>
      <c r="T70" s="4">
        <v>0</v>
      </c>
      <c r="U70" s="6">
        <v>0</v>
      </c>
      <c r="V70" s="4">
        <v>0</v>
      </c>
      <c r="W70" s="6">
        <v>0</v>
      </c>
    </row>
    <row r="71" spans="13:23" x14ac:dyDescent="0.35">
      <c r="M71" s="4"/>
      <c r="N71" s="8"/>
      <c r="O71" s="4"/>
      <c r="P71" s="6"/>
      <c r="Q71" s="6"/>
      <c r="R71" s="6"/>
      <c r="S71" s="6"/>
      <c r="T71" s="4"/>
      <c r="U71" s="6"/>
      <c r="V71" s="4"/>
      <c r="W71" s="6"/>
    </row>
    <row r="73" spans="13:23" x14ac:dyDescent="0.35">
      <c r="Q73" s="7">
        <f>SUM(_2021_sales_tbl[Cost Basis of Sale])</f>
        <v>25860.612160219011</v>
      </c>
      <c r="R73" s="7">
        <f>SUM(_2021_sales_tbl[Value of Sale])</f>
        <v>23121.917217295428</v>
      </c>
      <c r="W73" s="7">
        <f>SUM(_2021_sales_tbl[Realized Value])</f>
        <v>-2738.65</v>
      </c>
    </row>
    <row r="75" spans="13:23" x14ac:dyDescent="0.35">
      <c r="R75" s="7">
        <f>Q73-R73</f>
        <v>2738.6949429235829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DE78F-63F0-4F6D-A907-C9DBB3653A46}">
  <sheetPr codeName="Sheet49"/>
  <dimension ref="A1:Z12"/>
  <sheetViews>
    <sheetView tabSelected="1" topLeftCell="E1" workbookViewId="0">
      <selection activeCell="X17" sqref="X17"/>
    </sheetView>
  </sheetViews>
  <sheetFormatPr defaultRowHeight="14.5" x14ac:dyDescent="0.35"/>
  <cols>
    <col min="1" max="6" width="10.26953125" customWidth="1"/>
    <col min="10" max="15" width="10.26953125" customWidth="1"/>
    <col min="16" max="16" width="10.08984375" bestFit="1" customWidth="1"/>
    <col min="19" max="24" width="10.26953125" customWidth="1"/>
    <col min="25" max="25" width="10.08984375" bestFit="1" customWidth="1"/>
    <col min="26" max="26" width="9" bestFit="1" customWidth="1"/>
  </cols>
  <sheetData>
    <row r="1" spans="1:26" x14ac:dyDescent="0.35">
      <c r="A1" s="12">
        <v>2020</v>
      </c>
      <c r="B1" s="12"/>
      <c r="C1" s="12"/>
      <c r="D1" s="12"/>
      <c r="E1" s="12"/>
      <c r="J1" s="12">
        <v>2021</v>
      </c>
      <c r="K1" s="12"/>
      <c r="L1" s="12"/>
      <c r="M1" s="12"/>
      <c r="N1" s="12"/>
      <c r="S1" s="12">
        <v>2022</v>
      </c>
      <c r="T1" s="12"/>
      <c r="U1" s="12"/>
      <c r="V1" s="12"/>
      <c r="W1" s="12"/>
    </row>
    <row r="2" spans="1:26" x14ac:dyDescent="0.35">
      <c r="A2" t="s">
        <v>78</v>
      </c>
      <c r="B2" t="s">
        <v>79</v>
      </c>
      <c r="C2" t="s">
        <v>71</v>
      </c>
      <c r="D2" t="s">
        <v>72</v>
      </c>
      <c r="E2" t="s">
        <v>70</v>
      </c>
      <c r="F2" t="s">
        <v>74</v>
      </c>
      <c r="G2" t="s">
        <v>98</v>
      </c>
      <c r="H2" t="s">
        <v>99</v>
      </c>
      <c r="J2" t="s">
        <v>78</v>
      </c>
      <c r="K2" t="s">
        <v>79</v>
      </c>
      <c r="L2" t="s">
        <v>71</v>
      </c>
      <c r="M2" t="s">
        <v>72</v>
      </c>
      <c r="N2" t="s">
        <v>70</v>
      </c>
      <c r="O2" t="s">
        <v>74</v>
      </c>
      <c r="P2" t="s">
        <v>98</v>
      </c>
      <c r="Q2" t="s">
        <v>99</v>
      </c>
      <c r="S2" t="s">
        <v>78</v>
      </c>
      <c r="T2" t="s">
        <v>79</v>
      </c>
      <c r="U2" t="s">
        <v>71</v>
      </c>
      <c r="V2" t="s">
        <v>72</v>
      </c>
      <c r="W2" t="s">
        <v>70</v>
      </c>
      <c r="X2" t="s">
        <v>74</v>
      </c>
      <c r="Y2" t="s">
        <v>98</v>
      </c>
      <c r="Z2" t="s">
        <v>99</v>
      </c>
    </row>
    <row r="3" spans="1:26" x14ac:dyDescent="0.35">
      <c r="A3" s="4" t="s">
        <v>17</v>
      </c>
      <c r="B3" s="10">
        <v>0</v>
      </c>
      <c r="C3" s="6">
        <v>0</v>
      </c>
      <c r="D3" s="6">
        <v>0</v>
      </c>
      <c r="E3" s="6">
        <v>0</v>
      </c>
      <c r="F3" s="6">
        <v>0</v>
      </c>
      <c r="G3" s="6">
        <v>0</v>
      </c>
      <c r="H3" s="10">
        <v>0</v>
      </c>
      <c r="J3" s="4" t="s">
        <v>17</v>
      </c>
      <c r="K3" s="10">
        <v>0</v>
      </c>
      <c r="L3" s="6">
        <v>0</v>
      </c>
      <c r="M3" s="6">
        <v>0</v>
      </c>
      <c r="N3" s="6">
        <v>41.18</v>
      </c>
      <c r="O3" s="6">
        <v>-134.76999999999998</v>
      </c>
      <c r="P3" s="6">
        <v>-93.589999999999975</v>
      </c>
      <c r="Q3" s="10">
        <v>5.856000000000007E-3</v>
      </c>
      <c r="S3" s="4" t="s">
        <v>17</v>
      </c>
      <c r="T3" s="10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10">
        <v>7.5009999999999999E-3</v>
      </c>
    </row>
    <row r="4" spans="1:26" x14ac:dyDescent="0.35">
      <c r="A4" s="4" t="s">
        <v>16</v>
      </c>
      <c r="B4" s="10">
        <v>0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10">
        <v>0</v>
      </c>
      <c r="J4" s="4" t="s">
        <v>16</v>
      </c>
      <c r="K4" s="10">
        <v>0</v>
      </c>
      <c r="L4" s="6">
        <v>0</v>
      </c>
      <c r="M4" s="6">
        <v>0</v>
      </c>
      <c r="N4" s="6">
        <v>185.69</v>
      </c>
      <c r="O4" s="6">
        <v>0</v>
      </c>
      <c r="P4" s="6">
        <v>185.69</v>
      </c>
      <c r="Q4" s="10">
        <v>0</v>
      </c>
      <c r="S4" s="4" t="s">
        <v>16</v>
      </c>
      <c r="T4" s="10">
        <v>0</v>
      </c>
      <c r="U4" s="6">
        <v>0</v>
      </c>
      <c r="V4" s="6">
        <v>0</v>
      </c>
      <c r="W4" s="6">
        <v>0</v>
      </c>
      <c r="X4" s="6">
        <v>0</v>
      </c>
      <c r="Y4" s="6">
        <v>0</v>
      </c>
      <c r="Z4" s="10">
        <v>0</v>
      </c>
    </row>
    <row r="5" spans="1:26" x14ac:dyDescent="0.35">
      <c r="A5" s="4" t="s">
        <v>12</v>
      </c>
      <c r="B5" s="10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10">
        <v>0</v>
      </c>
      <c r="J5" s="4" t="s">
        <v>12</v>
      </c>
      <c r="K5" s="10">
        <v>0</v>
      </c>
      <c r="L5" s="6">
        <v>0</v>
      </c>
      <c r="M5" s="6">
        <v>0</v>
      </c>
      <c r="N5" s="6">
        <v>629.66000000000008</v>
      </c>
      <c r="O5" s="6">
        <v>-265.29000000000002</v>
      </c>
      <c r="P5" s="6">
        <v>364.37000000000006</v>
      </c>
      <c r="Q5" s="10">
        <v>11.167762706594495</v>
      </c>
      <c r="S5" s="4" t="s">
        <v>12</v>
      </c>
      <c r="T5" s="10">
        <v>0</v>
      </c>
      <c r="U5" s="6">
        <v>0</v>
      </c>
      <c r="V5" s="6">
        <v>0</v>
      </c>
      <c r="W5" s="6">
        <v>0.01</v>
      </c>
      <c r="X5" s="6">
        <v>-1231.58</v>
      </c>
      <c r="Y5" s="6">
        <v>-1231.57</v>
      </c>
      <c r="Z5" s="10">
        <v>-11.389478019999999</v>
      </c>
    </row>
    <row r="6" spans="1:26" x14ac:dyDescent="0.35">
      <c r="A6" s="4" t="s">
        <v>14</v>
      </c>
      <c r="B6" s="10">
        <v>0</v>
      </c>
      <c r="C6" s="6">
        <v>0</v>
      </c>
      <c r="D6" s="6">
        <v>0</v>
      </c>
      <c r="E6" s="6">
        <v>0</v>
      </c>
      <c r="F6" s="6">
        <v>0</v>
      </c>
      <c r="G6" s="6">
        <v>0</v>
      </c>
      <c r="H6" s="10">
        <v>0</v>
      </c>
      <c r="J6" s="4" t="s">
        <v>14</v>
      </c>
      <c r="K6" s="10">
        <v>0</v>
      </c>
      <c r="L6" s="6">
        <v>0</v>
      </c>
      <c r="M6" s="6">
        <v>0</v>
      </c>
      <c r="N6" s="6">
        <v>0</v>
      </c>
      <c r="O6" s="6">
        <v>-239.31</v>
      </c>
      <c r="P6" s="6">
        <v>-239.31</v>
      </c>
      <c r="Q6" s="10">
        <v>1.0499999999999972</v>
      </c>
      <c r="S6" s="4" t="s">
        <v>14</v>
      </c>
      <c r="T6" s="10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10">
        <v>0</v>
      </c>
    </row>
    <row r="7" spans="1:26" x14ac:dyDescent="0.35">
      <c r="A7" s="4" t="s">
        <v>18</v>
      </c>
      <c r="B7" s="10">
        <v>0</v>
      </c>
      <c r="C7" s="6">
        <v>0</v>
      </c>
      <c r="D7" s="6">
        <v>0</v>
      </c>
      <c r="E7" s="6">
        <v>0</v>
      </c>
      <c r="F7" s="6">
        <v>0</v>
      </c>
      <c r="G7" s="6">
        <v>0</v>
      </c>
      <c r="H7" s="10">
        <v>0</v>
      </c>
      <c r="J7" s="4" t="s">
        <v>18</v>
      </c>
      <c r="K7" s="10">
        <v>0</v>
      </c>
      <c r="L7" s="6">
        <v>0</v>
      </c>
      <c r="M7" s="6">
        <v>0</v>
      </c>
      <c r="N7" s="6">
        <v>160.63999999999999</v>
      </c>
      <c r="O7" s="6">
        <v>-0.05</v>
      </c>
      <c r="P7" s="6">
        <v>160.58999999999997</v>
      </c>
      <c r="Q7" s="10">
        <v>1.8297768793999997E-2</v>
      </c>
      <c r="S7" s="4" t="s">
        <v>18</v>
      </c>
      <c r="T7" s="10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10">
        <v>0</v>
      </c>
    </row>
    <row r="8" spans="1:26" x14ac:dyDescent="0.35">
      <c r="A8" s="4" t="s">
        <v>20</v>
      </c>
      <c r="B8" s="10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10">
        <v>0</v>
      </c>
      <c r="J8" s="4" t="s">
        <v>20</v>
      </c>
      <c r="K8" s="10">
        <v>0</v>
      </c>
      <c r="L8" s="6">
        <v>0</v>
      </c>
      <c r="M8" s="6">
        <v>0</v>
      </c>
      <c r="N8" s="6">
        <v>0</v>
      </c>
      <c r="O8" s="6">
        <v>-580.67999999999995</v>
      </c>
      <c r="P8" s="6">
        <v>-580.67999999999995</v>
      </c>
      <c r="Q8" s="10">
        <v>0</v>
      </c>
      <c r="S8" s="4" t="s">
        <v>20</v>
      </c>
      <c r="T8" s="10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10">
        <v>0</v>
      </c>
    </row>
    <row r="9" spans="1:26" x14ac:dyDescent="0.35">
      <c r="A9" s="4" t="s">
        <v>22</v>
      </c>
      <c r="B9" s="10">
        <v>0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10">
        <v>0</v>
      </c>
      <c r="J9" s="4" t="s">
        <v>22</v>
      </c>
      <c r="K9" s="10">
        <v>0</v>
      </c>
      <c r="L9" s="6">
        <v>0</v>
      </c>
      <c r="M9" s="6">
        <v>0</v>
      </c>
      <c r="N9" s="6">
        <v>1268.1300000000001</v>
      </c>
      <c r="O9" s="6">
        <v>0</v>
      </c>
      <c r="P9" s="6">
        <v>1268.1300000000001</v>
      </c>
      <c r="Q9" s="10">
        <v>0</v>
      </c>
      <c r="S9" s="4" t="s">
        <v>22</v>
      </c>
      <c r="T9" s="10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10">
        <v>0</v>
      </c>
    </row>
    <row r="10" spans="1:26" x14ac:dyDescent="0.35">
      <c r="A10" s="4" t="s">
        <v>21</v>
      </c>
      <c r="B10" s="10">
        <v>0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10">
        <v>0</v>
      </c>
      <c r="J10" s="4" t="s">
        <v>21</v>
      </c>
      <c r="K10" s="10">
        <v>0</v>
      </c>
      <c r="L10" s="6">
        <v>0</v>
      </c>
      <c r="M10" s="6">
        <v>0</v>
      </c>
      <c r="N10" s="6">
        <v>0</v>
      </c>
      <c r="O10" s="6">
        <v>-583.83000000000004</v>
      </c>
      <c r="P10" s="6">
        <v>-583.83000000000004</v>
      </c>
      <c r="Q10" s="10">
        <v>0</v>
      </c>
      <c r="S10" s="4" t="s">
        <v>21</v>
      </c>
      <c r="T10" s="10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10">
        <v>0</v>
      </c>
    </row>
    <row r="11" spans="1:26" x14ac:dyDescent="0.35">
      <c r="A11" s="4" t="s">
        <v>25</v>
      </c>
      <c r="B11" s="10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10">
        <v>0</v>
      </c>
      <c r="J11" s="4" t="s">
        <v>25</v>
      </c>
      <c r="K11" s="10">
        <v>2549.8000000000002</v>
      </c>
      <c r="L11" s="6">
        <v>0</v>
      </c>
      <c r="M11" s="6">
        <v>0</v>
      </c>
      <c r="N11" s="6">
        <v>3.45</v>
      </c>
      <c r="O11" s="6">
        <v>-3223.47</v>
      </c>
      <c r="P11" s="6">
        <v>-3220.02</v>
      </c>
      <c r="Q11" s="10">
        <v>-0.46495659999993677</v>
      </c>
      <c r="S11" s="4" t="s">
        <v>25</v>
      </c>
      <c r="T11" s="10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10">
        <v>0</v>
      </c>
    </row>
    <row r="12" spans="1:26" x14ac:dyDescent="0.35">
      <c r="A12" s="4" t="s">
        <v>109</v>
      </c>
      <c r="B12" s="10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10">
        <v>0</v>
      </c>
      <c r="J12" s="4" t="s">
        <v>109</v>
      </c>
      <c r="K12" s="10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10">
        <v>468.53</v>
      </c>
      <c r="S12" s="4" t="s">
        <v>109</v>
      </c>
      <c r="T12" s="10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10"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CBFD9-67BD-4408-A5B1-EC882A1E8DC2}">
  <sheetPr codeName="Sheet48"/>
  <dimension ref="A3:AN7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44551.961805555555</v>
      </c>
      <c r="B5" s="4" t="s">
        <v>8</v>
      </c>
      <c r="C5" s="6">
        <v>1</v>
      </c>
      <c r="D5" s="10">
        <v>506.47</v>
      </c>
      <c r="E5" s="6">
        <v>506.47</v>
      </c>
      <c r="F5" s="11">
        <v>506.47</v>
      </c>
      <c r="G5" s="6">
        <v>1</v>
      </c>
      <c r="H5" s="6">
        <v>0</v>
      </c>
      <c r="I5" s="4">
        <v>1</v>
      </c>
      <c r="J5" s="9">
        <v>44560.5625</v>
      </c>
      <c r="K5" s="4">
        <v>506.47</v>
      </c>
      <c r="L5" s="4">
        <v>506.47</v>
      </c>
      <c r="M5" s="4" t="s">
        <v>9</v>
      </c>
      <c r="N5" s="6">
        <v>0</v>
      </c>
      <c r="O5" s="5">
        <v>0</v>
      </c>
      <c r="P5" s="6">
        <v>0</v>
      </c>
      <c r="Q5" s="5">
        <v>0</v>
      </c>
      <c r="T5" s="4">
        <v>1</v>
      </c>
      <c r="U5" s="9">
        <v>44560.5625</v>
      </c>
      <c r="V5" s="4">
        <v>506.47</v>
      </c>
      <c r="W5" s="6">
        <v>1</v>
      </c>
      <c r="X5" s="4">
        <v>506.47</v>
      </c>
      <c r="Y5" s="4">
        <v>506.47</v>
      </c>
      <c r="Z5" s="6">
        <v>0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0</v>
      </c>
      <c r="AL5">
        <v>0</v>
      </c>
      <c r="AM5">
        <v>0</v>
      </c>
      <c r="AN5">
        <v>0</v>
      </c>
    </row>
    <row r="6" spans="1:40" x14ac:dyDescent="0.35">
      <c r="A6" s="9">
        <v>44551.961805555555</v>
      </c>
      <c r="B6" s="4" t="s">
        <v>8</v>
      </c>
      <c r="C6" s="6">
        <v>1</v>
      </c>
      <c r="D6" s="10">
        <v>468.53</v>
      </c>
      <c r="E6" s="6">
        <v>468.53</v>
      </c>
      <c r="F6" s="11"/>
      <c r="G6" s="6"/>
      <c r="H6" s="6"/>
      <c r="I6" s="4"/>
      <c r="J6" s="9"/>
      <c r="K6" s="4"/>
      <c r="L6" s="4"/>
      <c r="M6" s="4"/>
      <c r="N6" s="6"/>
      <c r="O6" s="4"/>
      <c r="P6" s="6"/>
      <c r="Q6" s="4"/>
      <c r="AE6" s="4">
        <v>2022</v>
      </c>
      <c r="AF6" s="4">
        <v>0</v>
      </c>
      <c r="AG6" s="6">
        <v>0</v>
      </c>
    </row>
    <row r="7" spans="1:40" x14ac:dyDescent="0.35">
      <c r="A7" s="8"/>
      <c r="B7" s="4"/>
      <c r="C7" s="6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E0E8C-F973-42D0-9420-4956BFEC7BF6}">
  <sheetPr codeName="Sheet47"/>
  <dimension ref="A3:AN18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44335.55972222222</v>
      </c>
      <c r="B5" s="4" t="s">
        <v>8</v>
      </c>
      <c r="C5" s="6">
        <v>23.17</v>
      </c>
      <c r="D5" s="10">
        <v>66.144750000000002</v>
      </c>
      <c r="E5" s="6">
        <v>1532.5738575</v>
      </c>
      <c r="F5" s="11">
        <v>494.9778622</v>
      </c>
      <c r="G5" s="6">
        <v>11.836</v>
      </c>
      <c r="H5" s="6">
        <v>-749.6845965</v>
      </c>
      <c r="I5" s="4">
        <v>1</v>
      </c>
      <c r="J5" s="9">
        <v>44551.441666666666</v>
      </c>
      <c r="K5" s="4">
        <v>9073.0593683590014</v>
      </c>
      <c r="L5" s="4">
        <v>5853.0547506815983</v>
      </c>
      <c r="M5" s="4" t="s">
        <v>9</v>
      </c>
      <c r="N5" s="6">
        <v>3.45</v>
      </c>
      <c r="O5" s="5">
        <v>0</v>
      </c>
      <c r="P5" s="6">
        <v>-3223.47</v>
      </c>
      <c r="Q5" s="5">
        <v>0</v>
      </c>
      <c r="T5" s="4">
        <v>1</v>
      </c>
      <c r="U5" s="9">
        <v>44551.441666666666</v>
      </c>
      <c r="V5" s="4">
        <v>494.9778622</v>
      </c>
      <c r="W5" s="6">
        <v>11.84</v>
      </c>
      <c r="X5" s="4">
        <v>9073.0593683590014</v>
      </c>
      <c r="Y5" s="4">
        <v>5853.0547506815983</v>
      </c>
      <c r="Z5" s="6">
        <v>3.45</v>
      </c>
      <c r="AA5" s="4">
        <v>0</v>
      </c>
      <c r="AB5" s="6">
        <v>-3223.47</v>
      </c>
      <c r="AC5" s="4">
        <v>0</v>
      </c>
      <c r="AE5" s="4">
        <v>2021</v>
      </c>
      <c r="AF5" s="15">
        <v>146.75222560000003</v>
      </c>
      <c r="AG5" s="6">
        <v>2549.8000000000002</v>
      </c>
      <c r="AI5">
        <v>2021</v>
      </c>
      <c r="AJ5" s="7">
        <v>2549.8000000000002</v>
      </c>
      <c r="AK5">
        <v>3.45</v>
      </c>
      <c r="AL5">
        <v>0</v>
      </c>
      <c r="AM5">
        <v>-3223.47</v>
      </c>
      <c r="AN5">
        <v>0</v>
      </c>
    </row>
    <row r="6" spans="1:40" x14ac:dyDescent="0.35">
      <c r="A6" s="9">
        <v>44339</v>
      </c>
      <c r="B6" s="4" t="s">
        <v>66</v>
      </c>
      <c r="C6" s="6">
        <v>18.670000000000002</v>
      </c>
      <c r="D6" s="10">
        <v>0</v>
      </c>
      <c r="E6" s="6">
        <v>0</v>
      </c>
      <c r="F6" s="11">
        <v>494.9778622</v>
      </c>
      <c r="G6" s="6">
        <v>11.836</v>
      </c>
      <c r="H6" s="6">
        <v>0</v>
      </c>
      <c r="I6" s="4">
        <v>1</v>
      </c>
      <c r="J6" s="9">
        <v>44551.441666666666</v>
      </c>
      <c r="K6" s="4">
        <v>9073.0593683590014</v>
      </c>
      <c r="L6" s="4">
        <v>5853.0547506815983</v>
      </c>
      <c r="M6" s="4" t="s">
        <v>9</v>
      </c>
      <c r="N6" s="6">
        <v>3.45</v>
      </c>
      <c r="O6" s="5">
        <v>0</v>
      </c>
      <c r="P6" s="6">
        <v>-3223.47</v>
      </c>
      <c r="Q6" s="5">
        <v>0</v>
      </c>
      <c r="AE6" s="4">
        <v>2022</v>
      </c>
      <c r="AF6" s="4">
        <v>0</v>
      </c>
      <c r="AG6" s="6">
        <v>0</v>
      </c>
    </row>
    <row r="7" spans="1:40" x14ac:dyDescent="0.35">
      <c r="A7" s="9">
        <v>44339.65519675926</v>
      </c>
      <c r="B7" s="4" t="s">
        <v>8</v>
      </c>
      <c r="C7" s="6">
        <v>16.63</v>
      </c>
      <c r="D7" s="10">
        <v>3.2000000000000001E-2</v>
      </c>
      <c r="E7" s="6">
        <v>0.53215999999999997</v>
      </c>
      <c r="F7" s="11">
        <v>494.9778622</v>
      </c>
      <c r="G7" s="6">
        <v>11.836</v>
      </c>
      <c r="H7" s="6">
        <v>-0.15340799999999993</v>
      </c>
      <c r="I7" s="4">
        <v>1</v>
      </c>
      <c r="J7" s="9">
        <v>44551.441666666666</v>
      </c>
      <c r="K7" s="4">
        <v>9073.0593683590014</v>
      </c>
      <c r="L7" s="4">
        <v>5853.0547506815983</v>
      </c>
      <c r="M7" s="4" t="s">
        <v>9</v>
      </c>
      <c r="N7" s="6">
        <v>3.45</v>
      </c>
      <c r="O7" s="5">
        <v>0</v>
      </c>
      <c r="P7" s="6">
        <v>-3223.47</v>
      </c>
      <c r="Q7" s="5">
        <v>0</v>
      </c>
    </row>
    <row r="8" spans="1:40" x14ac:dyDescent="0.35">
      <c r="A8" s="9">
        <v>44340.613888888889</v>
      </c>
      <c r="B8" s="4" t="s">
        <v>8</v>
      </c>
      <c r="C8" s="6">
        <v>16.7</v>
      </c>
      <c r="D8" s="10">
        <v>5.3152900000000001</v>
      </c>
      <c r="E8" s="6">
        <v>88.499578499999998</v>
      </c>
      <c r="F8" s="11">
        <v>494.9778622</v>
      </c>
      <c r="G8" s="6">
        <v>11.836</v>
      </c>
      <c r="H8" s="6">
        <v>-25.587806059999998</v>
      </c>
      <c r="I8" s="4">
        <v>1</v>
      </c>
      <c r="J8" s="9">
        <v>44551.441666666666</v>
      </c>
      <c r="K8" s="4">
        <v>9073.0593683590014</v>
      </c>
      <c r="L8" s="4">
        <v>5853.0547506815983</v>
      </c>
      <c r="M8" s="4" t="s">
        <v>9</v>
      </c>
      <c r="N8" s="6">
        <v>3.45</v>
      </c>
      <c r="O8" s="5">
        <v>0</v>
      </c>
      <c r="P8" s="6">
        <v>-3223.47</v>
      </c>
      <c r="Q8" s="5">
        <v>0</v>
      </c>
    </row>
    <row r="9" spans="1:40" x14ac:dyDescent="0.35">
      <c r="A9" s="9">
        <v>44340.623749999999</v>
      </c>
      <c r="B9" s="4" t="s">
        <v>8</v>
      </c>
      <c r="C9" s="6">
        <v>16.63</v>
      </c>
      <c r="D9" s="10">
        <v>1.218</v>
      </c>
      <c r="E9" s="6">
        <v>20.25534</v>
      </c>
      <c r="F9" s="11">
        <v>494.9778622</v>
      </c>
      <c r="G9" s="6">
        <v>11.836</v>
      </c>
      <c r="H9" s="6">
        <v>-5.8390920000000008</v>
      </c>
      <c r="I9" s="4">
        <v>1</v>
      </c>
      <c r="J9" s="9">
        <v>44551.441666666666</v>
      </c>
      <c r="K9" s="4">
        <v>9073.0593683590014</v>
      </c>
      <c r="L9" s="4">
        <v>5853.0547506815983</v>
      </c>
      <c r="M9" s="4" t="s">
        <v>9</v>
      </c>
      <c r="N9" s="6">
        <v>3.45</v>
      </c>
      <c r="O9" s="5">
        <v>0</v>
      </c>
      <c r="P9" s="6">
        <v>-3223.47</v>
      </c>
      <c r="Q9" s="5">
        <v>0</v>
      </c>
    </row>
    <row r="10" spans="1:40" x14ac:dyDescent="0.35">
      <c r="A10" s="9">
        <v>44341</v>
      </c>
      <c r="B10" s="4" t="s">
        <v>66</v>
      </c>
      <c r="C10" s="6">
        <v>18.55</v>
      </c>
      <c r="D10" s="10">
        <v>0</v>
      </c>
      <c r="E10" s="6">
        <v>0</v>
      </c>
      <c r="F10" s="11">
        <v>494.9778622</v>
      </c>
      <c r="G10" s="6">
        <v>11.836</v>
      </c>
      <c r="H10" s="6">
        <v>0</v>
      </c>
      <c r="I10" s="4">
        <v>1</v>
      </c>
      <c r="J10" s="9">
        <v>44551.441666666666</v>
      </c>
      <c r="K10" s="4">
        <v>9073.0593683590014</v>
      </c>
      <c r="L10" s="4">
        <v>5853.0547506815983</v>
      </c>
      <c r="M10" s="4" t="s">
        <v>9</v>
      </c>
      <c r="N10" s="6">
        <v>3.45</v>
      </c>
      <c r="O10" s="5">
        <v>0</v>
      </c>
      <c r="P10" s="6">
        <v>-3223.47</v>
      </c>
      <c r="Q10" s="5">
        <v>0</v>
      </c>
    </row>
    <row r="11" spans="1:40" x14ac:dyDescent="0.35">
      <c r="A11" s="9">
        <v>44342</v>
      </c>
      <c r="B11" s="4" t="s">
        <v>66</v>
      </c>
      <c r="C11" s="6">
        <v>16.670000000000002</v>
      </c>
      <c r="D11" s="10">
        <v>6.8500000000000227E-3</v>
      </c>
      <c r="E11" s="6">
        <v>0.11418950000000037</v>
      </c>
      <c r="F11" s="11">
        <v>494.9778622</v>
      </c>
      <c r="G11" s="6">
        <v>11.836</v>
      </c>
      <c r="H11" s="6">
        <v>-3.3112900000000098E-2</v>
      </c>
      <c r="I11" s="4">
        <v>1</v>
      </c>
      <c r="J11" s="9">
        <v>44551.441666666666</v>
      </c>
      <c r="K11" s="4">
        <v>9073.0593683590014</v>
      </c>
      <c r="L11" s="4">
        <v>5853.0547506815983</v>
      </c>
      <c r="M11" s="4" t="s">
        <v>9</v>
      </c>
      <c r="N11" s="6">
        <v>3.45</v>
      </c>
      <c r="O11" s="5">
        <v>0</v>
      </c>
      <c r="P11" s="6">
        <v>-3223.47</v>
      </c>
      <c r="Q11" s="5">
        <v>0</v>
      </c>
    </row>
    <row r="12" spans="1:40" x14ac:dyDescent="0.35">
      <c r="A12" s="9">
        <v>44344</v>
      </c>
      <c r="B12" s="4" t="s">
        <v>66</v>
      </c>
      <c r="C12" s="6">
        <v>16.43</v>
      </c>
      <c r="D12" s="10">
        <v>0</v>
      </c>
      <c r="E12" s="6">
        <v>0</v>
      </c>
      <c r="F12" s="11">
        <v>494.9778622</v>
      </c>
      <c r="G12" s="6">
        <v>11.836</v>
      </c>
      <c r="H12" s="6">
        <v>0</v>
      </c>
      <c r="I12" s="4">
        <v>1</v>
      </c>
      <c r="J12" s="9">
        <v>44551.441666666666</v>
      </c>
      <c r="K12" s="4">
        <v>9073.0593683590014</v>
      </c>
      <c r="L12" s="4">
        <v>5853.0547506815983</v>
      </c>
      <c r="M12" s="4" t="s">
        <v>9</v>
      </c>
      <c r="N12" s="6">
        <v>3.45</v>
      </c>
      <c r="O12" s="5">
        <v>0</v>
      </c>
      <c r="P12" s="6">
        <v>-3223.47</v>
      </c>
      <c r="Q12" s="5">
        <v>0</v>
      </c>
    </row>
    <row r="13" spans="1:40" x14ac:dyDescent="0.35">
      <c r="A13" s="9">
        <v>44344</v>
      </c>
      <c r="B13" s="4" t="s">
        <v>66</v>
      </c>
      <c r="C13" s="6">
        <v>16.13</v>
      </c>
      <c r="D13" s="10">
        <v>2.3510000000001696E-2</v>
      </c>
      <c r="E13" s="6">
        <v>0.37921630000002737</v>
      </c>
      <c r="F13" s="11">
        <v>494.9778622</v>
      </c>
      <c r="G13" s="6">
        <v>11.836</v>
      </c>
      <c r="H13" s="6">
        <v>-0.10095194000000729</v>
      </c>
      <c r="I13" s="4">
        <v>1</v>
      </c>
      <c r="J13" s="9">
        <v>44551.441666666666</v>
      </c>
      <c r="K13" s="4">
        <v>9073.0593683590014</v>
      </c>
      <c r="L13" s="4">
        <v>5853.0547506815983</v>
      </c>
      <c r="M13" s="4" t="s">
        <v>9</v>
      </c>
      <c r="N13" s="6">
        <v>3.45</v>
      </c>
      <c r="O13" s="5">
        <v>0</v>
      </c>
      <c r="P13" s="6">
        <v>-3223.47</v>
      </c>
      <c r="Q13" s="5">
        <v>0</v>
      </c>
    </row>
    <row r="14" spans="1:40" x14ac:dyDescent="0.35">
      <c r="A14" s="9">
        <v>44344.158333333333</v>
      </c>
      <c r="B14" s="4" t="s">
        <v>66</v>
      </c>
      <c r="C14" s="6">
        <v>14.93</v>
      </c>
      <c r="D14" s="10">
        <v>0.83089999999999997</v>
      </c>
      <c r="E14" s="6">
        <v>12.405336999999999</v>
      </c>
      <c r="F14" s="11">
        <v>494.9778622</v>
      </c>
      <c r="G14" s="6">
        <v>11.836</v>
      </c>
      <c r="H14" s="6">
        <v>-2.5708045999999989</v>
      </c>
      <c r="I14" s="4">
        <v>1</v>
      </c>
      <c r="J14" s="9">
        <v>44551.441666666666</v>
      </c>
      <c r="K14" s="4">
        <v>9073.0593683590014</v>
      </c>
      <c r="L14" s="4">
        <v>5853.0547506815983</v>
      </c>
      <c r="M14" s="4" t="s">
        <v>9</v>
      </c>
      <c r="N14" s="6">
        <v>3.45</v>
      </c>
      <c r="O14" s="5">
        <v>0</v>
      </c>
      <c r="P14" s="6">
        <v>-3223.47</v>
      </c>
      <c r="Q14" s="5">
        <v>0</v>
      </c>
    </row>
    <row r="15" spans="1:40" x14ac:dyDescent="0.35">
      <c r="A15" s="9">
        <v>44344.158333333333</v>
      </c>
      <c r="B15" s="4" t="s">
        <v>8</v>
      </c>
      <c r="C15" s="6">
        <v>14.93</v>
      </c>
      <c r="D15" s="10">
        <v>5.992</v>
      </c>
      <c r="E15" s="6">
        <v>89.460560000000001</v>
      </c>
      <c r="F15" s="11">
        <v>494.9778622</v>
      </c>
      <c r="G15" s="6">
        <v>11.836</v>
      </c>
      <c r="H15" s="6">
        <v>-18.539248000000001</v>
      </c>
      <c r="I15" s="4">
        <v>1</v>
      </c>
      <c r="J15" s="9">
        <v>44551.441666666666</v>
      </c>
      <c r="K15" s="4">
        <v>9073.0593683590014</v>
      </c>
      <c r="L15" s="4">
        <v>5853.0547506815983</v>
      </c>
      <c r="M15" s="4" t="s">
        <v>9</v>
      </c>
      <c r="N15" s="6">
        <v>3.45</v>
      </c>
      <c r="O15" s="5">
        <v>0</v>
      </c>
      <c r="P15" s="6">
        <v>-3223.47</v>
      </c>
      <c r="Q15" s="5">
        <v>0</v>
      </c>
    </row>
    <row r="16" spans="1:40" x14ac:dyDescent="0.35">
      <c r="A16" s="9">
        <v>44347.983113425929</v>
      </c>
      <c r="B16" s="4" t="s">
        <v>8</v>
      </c>
      <c r="C16" s="6">
        <v>17.809999999999999</v>
      </c>
      <c r="D16" s="10">
        <v>269.05864000000003</v>
      </c>
      <c r="E16" s="6">
        <v>4791.9343784000002</v>
      </c>
      <c r="F16" s="11">
        <v>494.9778622</v>
      </c>
      <c r="G16" s="6">
        <v>11.836</v>
      </c>
      <c r="H16" s="6">
        <v>-1607.3563153599998</v>
      </c>
      <c r="I16" s="4">
        <v>1</v>
      </c>
      <c r="J16" s="9">
        <v>44551.441666666666</v>
      </c>
      <c r="K16" s="4">
        <v>9073.0593683590014</v>
      </c>
      <c r="L16" s="4">
        <v>5853.0547506815983</v>
      </c>
      <c r="M16" s="4" t="s">
        <v>9</v>
      </c>
      <c r="N16" s="6">
        <v>3.45</v>
      </c>
      <c r="O16" s="5">
        <v>0</v>
      </c>
      <c r="P16" s="6">
        <v>-3223.47</v>
      </c>
      <c r="Q16" s="5">
        <v>0</v>
      </c>
    </row>
    <row r="17" spans="1:17" x14ac:dyDescent="0.35">
      <c r="A17" s="9">
        <v>44347.985358796293</v>
      </c>
      <c r="B17" s="4" t="s">
        <v>66</v>
      </c>
      <c r="C17" s="6">
        <v>17.7</v>
      </c>
      <c r="D17" s="10">
        <v>0.62707999999999997</v>
      </c>
      <c r="E17" s="6">
        <v>11.099316</v>
      </c>
      <c r="F17" s="11">
        <v>494.9778622</v>
      </c>
      <c r="G17" s="6">
        <v>11.836</v>
      </c>
      <c r="H17" s="6">
        <v>-3.6771971199999998</v>
      </c>
      <c r="I17" s="4">
        <v>1</v>
      </c>
      <c r="J17" s="9">
        <v>44551.441666666666</v>
      </c>
      <c r="K17" s="4">
        <v>9073.0593683590014</v>
      </c>
      <c r="L17" s="4">
        <v>5853.0547506815983</v>
      </c>
      <c r="M17" s="4" t="s">
        <v>9</v>
      </c>
      <c r="N17" s="6">
        <v>3.45</v>
      </c>
      <c r="O17" s="5">
        <v>0</v>
      </c>
      <c r="P17" s="6">
        <v>-3223.47</v>
      </c>
      <c r="Q17" s="5">
        <v>0</v>
      </c>
    </row>
    <row r="18" spans="1:17" x14ac:dyDescent="0.35">
      <c r="A18" s="9">
        <v>44348</v>
      </c>
      <c r="B18" s="4" t="s">
        <v>66</v>
      </c>
      <c r="C18" s="6">
        <v>18.09</v>
      </c>
      <c r="D18" s="10">
        <v>1.3204939999999965</v>
      </c>
      <c r="E18" s="6">
        <v>23.887736459999935</v>
      </c>
      <c r="F18" s="11">
        <v>494.9778622</v>
      </c>
      <c r="G18" s="6">
        <v>11.836</v>
      </c>
      <c r="H18" s="6">
        <v>-8.2583694759999755</v>
      </c>
      <c r="I18" s="4">
        <v>1</v>
      </c>
      <c r="J18" s="9">
        <v>44551.441666666666</v>
      </c>
      <c r="K18" s="4">
        <v>9073.0593683590014</v>
      </c>
      <c r="L18" s="4">
        <v>5853.0547506815983</v>
      </c>
      <c r="M18" s="4" t="s">
        <v>9</v>
      </c>
      <c r="N18" s="6">
        <v>3.45</v>
      </c>
      <c r="O18" s="5">
        <v>0</v>
      </c>
      <c r="P18" s="6">
        <v>-3223.47</v>
      </c>
      <c r="Q18" s="5">
        <v>0</v>
      </c>
    </row>
    <row r="19" spans="1:17" x14ac:dyDescent="0.35">
      <c r="A19" s="9">
        <v>44349</v>
      </c>
      <c r="B19" s="4" t="s">
        <v>66</v>
      </c>
      <c r="C19" s="6">
        <v>20.52</v>
      </c>
      <c r="D19" s="10">
        <v>1.0760619000000133</v>
      </c>
      <c r="E19" s="6">
        <v>22.080790188000275</v>
      </c>
      <c r="F19" s="11">
        <v>494.9778622</v>
      </c>
      <c r="G19" s="6">
        <v>11.836</v>
      </c>
      <c r="H19" s="6">
        <v>-9.3445215396001178</v>
      </c>
      <c r="I19" s="4">
        <v>1</v>
      </c>
      <c r="J19" s="9">
        <v>44551.441666666666</v>
      </c>
      <c r="K19" s="4">
        <v>9073.0593683590014</v>
      </c>
      <c r="L19" s="4">
        <v>5853.0547506815983</v>
      </c>
      <c r="M19" s="4" t="s">
        <v>9</v>
      </c>
      <c r="N19" s="6">
        <v>3.45</v>
      </c>
      <c r="O19" s="5">
        <v>0</v>
      </c>
      <c r="P19" s="6">
        <v>-3223.47</v>
      </c>
      <c r="Q19" s="5">
        <v>0</v>
      </c>
    </row>
    <row r="20" spans="1:17" x14ac:dyDescent="0.35">
      <c r="A20" s="9">
        <v>44350</v>
      </c>
      <c r="B20" s="4" t="s">
        <v>66</v>
      </c>
      <c r="C20" s="6">
        <v>20</v>
      </c>
      <c r="D20" s="10">
        <v>0.2426356999999939</v>
      </c>
      <c r="E20" s="6">
        <v>4.8527139999998781</v>
      </c>
      <c r="F20" s="11">
        <v>494.9778622</v>
      </c>
      <c r="G20" s="6">
        <v>11.836</v>
      </c>
      <c r="H20" s="6">
        <v>-1.9808778547999504</v>
      </c>
      <c r="I20" s="4">
        <v>1</v>
      </c>
      <c r="J20" s="9">
        <v>44551.441666666666</v>
      </c>
      <c r="K20" s="4">
        <v>9073.0593683590014</v>
      </c>
      <c r="L20" s="4">
        <v>5853.0547506815983</v>
      </c>
      <c r="M20" s="4" t="s">
        <v>9</v>
      </c>
      <c r="N20" s="6">
        <v>3.45</v>
      </c>
      <c r="O20" s="5">
        <v>0</v>
      </c>
      <c r="P20" s="6">
        <v>-3223.47</v>
      </c>
      <c r="Q20" s="5">
        <v>0</v>
      </c>
    </row>
    <row r="21" spans="1:17" x14ac:dyDescent="0.35">
      <c r="A21" s="9">
        <v>44351</v>
      </c>
      <c r="B21" s="4" t="s">
        <v>66</v>
      </c>
      <c r="C21" s="6">
        <v>19</v>
      </c>
      <c r="D21" s="10">
        <v>0.49392380000000458</v>
      </c>
      <c r="E21" s="6">
        <v>9.3845522000000869</v>
      </c>
      <c r="F21" s="11">
        <v>494.9778622</v>
      </c>
      <c r="G21" s="6">
        <v>11.836</v>
      </c>
      <c r="H21" s="6">
        <v>-3.5384701032000327</v>
      </c>
      <c r="I21" s="4">
        <v>1</v>
      </c>
      <c r="J21" s="9">
        <v>44551.441666666666</v>
      </c>
      <c r="K21" s="4">
        <v>9073.0593683590014</v>
      </c>
      <c r="L21" s="4">
        <v>5853.0547506815983</v>
      </c>
      <c r="M21" s="4" t="s">
        <v>9</v>
      </c>
      <c r="N21" s="6">
        <v>3.45</v>
      </c>
      <c r="O21" s="5">
        <v>0</v>
      </c>
      <c r="P21" s="6">
        <v>-3223.47</v>
      </c>
      <c r="Q21" s="5">
        <v>0</v>
      </c>
    </row>
    <row r="22" spans="1:17" x14ac:dyDescent="0.35">
      <c r="A22" s="9">
        <v>44352</v>
      </c>
      <c r="B22" s="4" t="s">
        <v>66</v>
      </c>
      <c r="C22" s="6">
        <v>19.25</v>
      </c>
      <c r="D22" s="10">
        <v>0.95322479999998677</v>
      </c>
      <c r="E22" s="6">
        <v>18.349577399999745</v>
      </c>
      <c r="F22" s="11">
        <v>494.9778622</v>
      </c>
      <c r="G22" s="6">
        <v>11.836</v>
      </c>
      <c r="H22" s="6">
        <v>-7.0672086671999015</v>
      </c>
      <c r="I22" s="4">
        <v>1</v>
      </c>
      <c r="J22" s="9">
        <v>44551.441666666666</v>
      </c>
      <c r="K22" s="4">
        <v>9073.0593683590014</v>
      </c>
      <c r="L22" s="4">
        <v>5853.0547506815983</v>
      </c>
      <c r="M22" s="4" t="s">
        <v>9</v>
      </c>
      <c r="N22" s="6">
        <v>3.45</v>
      </c>
      <c r="O22" s="5">
        <v>0</v>
      </c>
      <c r="P22" s="6">
        <v>-3223.47</v>
      </c>
      <c r="Q22" s="5">
        <v>0</v>
      </c>
    </row>
    <row r="23" spans="1:17" x14ac:dyDescent="0.35">
      <c r="A23" s="9">
        <v>44353</v>
      </c>
      <c r="B23" s="4" t="s">
        <v>66</v>
      </c>
      <c r="C23" s="6">
        <v>18.28</v>
      </c>
      <c r="D23" s="10">
        <v>1.0958092999999849</v>
      </c>
      <c r="E23" s="6">
        <v>20.031394003999722</v>
      </c>
      <c r="F23" s="11">
        <v>494.9778622</v>
      </c>
      <c r="G23" s="6">
        <v>11.836</v>
      </c>
      <c r="H23" s="6">
        <v>-7.0613951291998998</v>
      </c>
      <c r="I23" s="4">
        <v>1</v>
      </c>
      <c r="J23" s="9">
        <v>44551.441666666666</v>
      </c>
      <c r="K23" s="4">
        <v>9073.0593683590014</v>
      </c>
      <c r="L23" s="4">
        <v>5853.0547506815983</v>
      </c>
      <c r="M23" s="4" t="s">
        <v>9</v>
      </c>
      <c r="N23" s="6">
        <v>3.45</v>
      </c>
      <c r="O23" s="5">
        <v>0</v>
      </c>
      <c r="P23" s="6">
        <v>-3223.47</v>
      </c>
      <c r="Q23" s="5">
        <v>0</v>
      </c>
    </row>
    <row r="24" spans="1:17" x14ac:dyDescent="0.35">
      <c r="A24" s="9">
        <v>44354</v>
      </c>
      <c r="B24" s="4" t="s">
        <v>66</v>
      </c>
      <c r="C24" s="6">
        <v>17.11</v>
      </c>
      <c r="D24" s="10">
        <v>0.69968610000000808</v>
      </c>
      <c r="E24" s="6">
        <v>11.971629171000139</v>
      </c>
      <c r="F24" s="11">
        <v>494.9778622</v>
      </c>
      <c r="G24" s="6">
        <v>11.836</v>
      </c>
      <c r="H24" s="6">
        <v>-3.6901444914000425</v>
      </c>
      <c r="I24" s="4">
        <v>1</v>
      </c>
      <c r="J24" s="9">
        <v>44551.441666666666</v>
      </c>
      <c r="K24" s="4">
        <v>9073.0593683590014</v>
      </c>
      <c r="L24" s="4">
        <v>5853.0547506815983</v>
      </c>
      <c r="M24" s="4" t="s">
        <v>9</v>
      </c>
      <c r="N24" s="6">
        <v>3.45</v>
      </c>
      <c r="O24" s="5">
        <v>0</v>
      </c>
      <c r="P24" s="6">
        <v>-3223.47</v>
      </c>
      <c r="Q24" s="5">
        <v>0</v>
      </c>
    </row>
    <row r="25" spans="1:17" x14ac:dyDescent="0.35">
      <c r="A25" s="9">
        <v>44355</v>
      </c>
      <c r="B25" s="4" t="s">
        <v>66</v>
      </c>
      <c r="C25" s="6">
        <v>18.34</v>
      </c>
      <c r="D25" s="10">
        <v>1.3967038000000116</v>
      </c>
      <c r="E25" s="6">
        <v>25.615547692000213</v>
      </c>
      <c r="F25" s="11">
        <v>494.9778622</v>
      </c>
      <c r="G25" s="6">
        <v>11.836</v>
      </c>
      <c r="H25" s="6">
        <v>-9.0841615152000763</v>
      </c>
      <c r="I25" s="4">
        <v>1</v>
      </c>
      <c r="J25" s="9">
        <v>44551.441666666666</v>
      </c>
      <c r="K25" s="4">
        <v>9073.0593683590014</v>
      </c>
      <c r="L25" s="4">
        <v>5853.0547506815983</v>
      </c>
      <c r="M25" s="4" t="s">
        <v>9</v>
      </c>
      <c r="N25" s="6">
        <v>3.45</v>
      </c>
      <c r="O25" s="5">
        <v>0</v>
      </c>
      <c r="P25" s="6">
        <v>-3223.47</v>
      </c>
      <c r="Q25" s="5">
        <v>0</v>
      </c>
    </row>
    <row r="26" spans="1:17" x14ac:dyDescent="0.35">
      <c r="A26" s="9">
        <v>44356</v>
      </c>
      <c r="B26" s="4" t="s">
        <v>66</v>
      </c>
      <c r="C26" s="6">
        <v>18.3</v>
      </c>
      <c r="D26" s="10">
        <v>1.0386560000000031</v>
      </c>
      <c r="E26" s="6">
        <v>19.007404800000057</v>
      </c>
      <c r="F26" s="11">
        <v>494.9778622</v>
      </c>
      <c r="G26" s="6">
        <v>11.836</v>
      </c>
      <c r="H26" s="6">
        <v>-6.7138723840000196</v>
      </c>
      <c r="I26" s="4">
        <v>1</v>
      </c>
      <c r="J26" s="9">
        <v>44551.441666666666</v>
      </c>
      <c r="K26" s="4">
        <v>9073.0593683590014</v>
      </c>
      <c r="L26" s="4">
        <v>5853.0547506815983</v>
      </c>
      <c r="M26" s="4" t="s">
        <v>9</v>
      </c>
      <c r="N26" s="6">
        <v>3.45</v>
      </c>
      <c r="O26" s="5">
        <v>0</v>
      </c>
      <c r="P26" s="6">
        <v>-3223.47</v>
      </c>
      <c r="Q26" s="5">
        <v>0</v>
      </c>
    </row>
    <row r="27" spans="1:17" x14ac:dyDescent="0.35">
      <c r="A27" s="9">
        <v>44357</v>
      </c>
      <c r="B27" s="4" t="s">
        <v>66</v>
      </c>
      <c r="C27" s="6">
        <v>16.190000000000001</v>
      </c>
      <c r="D27" s="10">
        <v>0.43320510000000922</v>
      </c>
      <c r="E27" s="6">
        <v>7.013590569000149</v>
      </c>
      <c r="F27" s="11">
        <v>494.9778622</v>
      </c>
      <c r="G27" s="6">
        <v>11.836</v>
      </c>
      <c r="H27" s="6">
        <v>-1.8861750054000392</v>
      </c>
      <c r="I27" s="4">
        <v>1</v>
      </c>
      <c r="J27" s="9">
        <v>44551.441666666666</v>
      </c>
      <c r="K27" s="4">
        <v>9073.0593683590014</v>
      </c>
      <c r="L27" s="4">
        <v>5853.0547506815983</v>
      </c>
      <c r="M27" s="4" t="s">
        <v>9</v>
      </c>
      <c r="N27" s="6">
        <v>3.45</v>
      </c>
      <c r="O27" s="5">
        <v>0</v>
      </c>
      <c r="P27" s="6">
        <v>-3223.47</v>
      </c>
      <c r="Q27" s="5">
        <v>0</v>
      </c>
    </row>
    <row r="28" spans="1:17" x14ac:dyDescent="0.35">
      <c r="A28" s="9">
        <v>44358</v>
      </c>
      <c r="B28" s="4" t="s">
        <v>66</v>
      </c>
      <c r="C28" s="6">
        <v>16.93</v>
      </c>
      <c r="D28" s="10">
        <v>0.25164439999997512</v>
      </c>
      <c r="E28" s="6">
        <v>4.2603396919995786</v>
      </c>
      <c r="F28" s="11">
        <v>494.9778622</v>
      </c>
      <c r="G28" s="6">
        <v>11.836</v>
      </c>
      <c r="H28" s="6">
        <v>-1.2818765735998729</v>
      </c>
      <c r="I28" s="4">
        <v>1</v>
      </c>
      <c r="J28" s="9">
        <v>44551.441666666666</v>
      </c>
      <c r="K28" s="4">
        <v>9073.0593683590014</v>
      </c>
      <c r="L28" s="4">
        <v>5853.0547506815983</v>
      </c>
      <c r="M28" s="4" t="s">
        <v>9</v>
      </c>
      <c r="N28" s="6">
        <v>3.45</v>
      </c>
      <c r="O28" s="5">
        <v>0</v>
      </c>
      <c r="P28" s="6">
        <v>-3223.47</v>
      </c>
      <c r="Q28" s="5">
        <v>0</v>
      </c>
    </row>
    <row r="29" spans="1:17" x14ac:dyDescent="0.35">
      <c r="A29" s="9">
        <v>44359</v>
      </c>
      <c r="B29" s="4" t="s">
        <v>66</v>
      </c>
      <c r="C29" s="6">
        <v>16.97</v>
      </c>
      <c r="D29" s="10">
        <v>1.4615779000000089</v>
      </c>
      <c r="E29" s="6">
        <v>24.802976963000152</v>
      </c>
      <c r="F29" s="11">
        <v>494.9778622</v>
      </c>
      <c r="G29" s="6">
        <v>11.836</v>
      </c>
      <c r="H29" s="6">
        <v>-7.5037409386000462</v>
      </c>
      <c r="I29" s="4">
        <v>1</v>
      </c>
      <c r="J29" s="9">
        <v>44551.441666666666</v>
      </c>
      <c r="K29" s="4">
        <v>9073.0593683590014</v>
      </c>
      <c r="L29" s="4">
        <v>5853.0547506815983</v>
      </c>
      <c r="M29" s="4" t="s">
        <v>9</v>
      </c>
      <c r="N29" s="6">
        <v>3.45</v>
      </c>
      <c r="O29" s="5">
        <v>0</v>
      </c>
      <c r="P29" s="6">
        <v>-3223.47</v>
      </c>
      <c r="Q29" s="5">
        <v>0</v>
      </c>
    </row>
    <row r="30" spans="1:17" x14ac:dyDescent="0.35">
      <c r="A30" s="9">
        <v>44360</v>
      </c>
      <c r="B30" s="4" t="s">
        <v>66</v>
      </c>
      <c r="C30" s="6">
        <v>17.5</v>
      </c>
      <c r="D30" s="10">
        <v>0.95699239999999008</v>
      </c>
      <c r="E30" s="6">
        <v>16.747366999999826</v>
      </c>
      <c r="F30" s="11">
        <v>494.9778622</v>
      </c>
      <c r="G30" s="6">
        <v>11.836</v>
      </c>
      <c r="H30" s="6">
        <v>-5.4204049535999435</v>
      </c>
      <c r="I30" s="4">
        <v>1</v>
      </c>
      <c r="J30" s="9">
        <v>44551.441666666666</v>
      </c>
      <c r="K30" s="4">
        <v>9073.0593683590014</v>
      </c>
      <c r="L30" s="4">
        <v>5853.0547506815983</v>
      </c>
      <c r="M30" s="4" t="s">
        <v>9</v>
      </c>
      <c r="N30" s="6">
        <v>3.45</v>
      </c>
      <c r="O30" s="5">
        <v>0</v>
      </c>
      <c r="P30" s="6">
        <v>-3223.47</v>
      </c>
      <c r="Q30" s="5">
        <v>0</v>
      </c>
    </row>
    <row r="31" spans="1:17" x14ac:dyDescent="0.35">
      <c r="A31" s="9">
        <v>44361</v>
      </c>
      <c r="B31" s="4" t="s">
        <v>66</v>
      </c>
      <c r="C31" s="6">
        <v>18.02</v>
      </c>
      <c r="D31" s="10">
        <v>0.99890229999999747</v>
      </c>
      <c r="E31" s="6">
        <v>18.000219445999953</v>
      </c>
      <c r="F31" s="11">
        <v>494.9778622</v>
      </c>
      <c r="G31" s="6">
        <v>11.836</v>
      </c>
      <c r="H31" s="6">
        <v>-6.1772118231999826</v>
      </c>
      <c r="I31" s="4">
        <v>1</v>
      </c>
      <c r="J31" s="9">
        <v>44551.441666666666</v>
      </c>
      <c r="K31" s="4">
        <v>9073.0593683590014</v>
      </c>
      <c r="L31" s="4">
        <v>5853.0547506815983</v>
      </c>
      <c r="M31" s="4" t="s">
        <v>9</v>
      </c>
      <c r="N31" s="6">
        <v>3.45</v>
      </c>
      <c r="O31" s="5">
        <v>0</v>
      </c>
      <c r="P31" s="6">
        <v>-3223.47</v>
      </c>
      <c r="Q31" s="5">
        <v>0</v>
      </c>
    </row>
    <row r="32" spans="1:17" x14ac:dyDescent="0.35">
      <c r="A32" s="9">
        <v>44362</v>
      </c>
      <c r="B32" s="4" t="s">
        <v>66</v>
      </c>
      <c r="C32" s="6">
        <v>17.899999999999999</v>
      </c>
      <c r="D32" s="10">
        <v>0.81731830000001082</v>
      </c>
      <c r="E32" s="6">
        <v>14.629997570000194</v>
      </c>
      <c r="F32" s="11">
        <v>494.9778622</v>
      </c>
      <c r="G32" s="6">
        <v>11.836</v>
      </c>
      <c r="H32" s="6">
        <v>-4.9562181712000655</v>
      </c>
      <c r="I32" s="4">
        <v>1</v>
      </c>
      <c r="J32" s="9">
        <v>44551.441666666666</v>
      </c>
      <c r="K32" s="4">
        <v>9073.0593683590014</v>
      </c>
      <c r="L32" s="4">
        <v>5853.0547506815983</v>
      </c>
      <c r="M32" s="4" t="s">
        <v>9</v>
      </c>
      <c r="N32" s="6">
        <v>3.45</v>
      </c>
      <c r="O32" s="5">
        <v>0</v>
      </c>
      <c r="P32" s="6">
        <v>-3223.47</v>
      </c>
      <c r="Q32" s="5">
        <v>0</v>
      </c>
    </row>
    <row r="33" spans="1:17" x14ac:dyDescent="0.35">
      <c r="A33" s="9">
        <v>44363</v>
      </c>
      <c r="B33" s="4" t="s">
        <v>66</v>
      </c>
      <c r="C33" s="6">
        <v>16.75</v>
      </c>
      <c r="D33" s="10">
        <v>1.0864373000000001</v>
      </c>
      <c r="E33" s="6">
        <v>18.197824775000001</v>
      </c>
      <c r="F33" s="11">
        <v>494.9778622</v>
      </c>
      <c r="G33" s="6">
        <v>11.836</v>
      </c>
      <c r="H33" s="6">
        <v>-5.3387528922000005</v>
      </c>
      <c r="I33" s="4">
        <v>1</v>
      </c>
      <c r="J33" s="9">
        <v>44551.441666666666</v>
      </c>
      <c r="K33" s="4">
        <v>9073.0593683590014</v>
      </c>
      <c r="L33" s="4">
        <v>5853.0547506815983</v>
      </c>
      <c r="M33" s="4" t="s">
        <v>9</v>
      </c>
      <c r="N33" s="6">
        <v>3.45</v>
      </c>
      <c r="O33" s="5">
        <v>0</v>
      </c>
      <c r="P33" s="6">
        <v>-3223.47</v>
      </c>
      <c r="Q33" s="5">
        <v>0</v>
      </c>
    </row>
    <row r="34" spans="1:17" x14ac:dyDescent="0.35">
      <c r="A34" s="9">
        <v>44364</v>
      </c>
      <c r="B34" s="4" t="s">
        <v>66</v>
      </c>
      <c r="C34" s="6">
        <v>16</v>
      </c>
      <c r="D34" s="10">
        <v>1.2019941000000358</v>
      </c>
      <c r="E34" s="6">
        <v>19.231905600000573</v>
      </c>
      <c r="F34" s="11">
        <v>494.9778622</v>
      </c>
      <c r="G34" s="6">
        <v>11.836</v>
      </c>
      <c r="H34" s="6">
        <v>-5.0051034324001495</v>
      </c>
      <c r="I34" s="4">
        <v>1</v>
      </c>
      <c r="J34" s="9">
        <v>44551.441666666666</v>
      </c>
      <c r="K34" s="4">
        <v>9073.0593683590014</v>
      </c>
      <c r="L34" s="4">
        <v>5853.0547506815983</v>
      </c>
      <c r="M34" s="4" t="s">
        <v>9</v>
      </c>
      <c r="N34" s="6">
        <v>3.45</v>
      </c>
      <c r="O34" s="5">
        <v>0</v>
      </c>
      <c r="P34" s="6">
        <v>-3223.47</v>
      </c>
      <c r="Q34" s="5">
        <v>0</v>
      </c>
    </row>
    <row r="35" spans="1:17" x14ac:dyDescent="0.35">
      <c r="A35" s="9">
        <v>44365</v>
      </c>
      <c r="B35" s="4" t="s">
        <v>66</v>
      </c>
      <c r="C35" s="6">
        <v>16.02</v>
      </c>
      <c r="D35" s="10">
        <v>0.46197119999999359</v>
      </c>
      <c r="E35" s="6">
        <v>7.4007786239998969</v>
      </c>
      <c r="F35" s="11">
        <v>494.9778622</v>
      </c>
      <c r="G35" s="6">
        <v>11.836</v>
      </c>
      <c r="H35" s="6">
        <v>-1.9328875007999731</v>
      </c>
      <c r="I35" s="4">
        <v>1</v>
      </c>
      <c r="J35" s="9">
        <v>44551.441666666666</v>
      </c>
      <c r="K35" s="4">
        <v>9073.0593683590014</v>
      </c>
      <c r="L35" s="4">
        <v>5853.0547506815983</v>
      </c>
      <c r="M35" s="4" t="s">
        <v>9</v>
      </c>
      <c r="N35" s="6">
        <v>3.45</v>
      </c>
      <c r="O35" s="5">
        <v>0</v>
      </c>
      <c r="P35" s="6">
        <v>-3223.47</v>
      </c>
      <c r="Q35" s="5">
        <v>0</v>
      </c>
    </row>
    <row r="36" spans="1:17" x14ac:dyDescent="0.35">
      <c r="A36" s="9">
        <v>44366</v>
      </c>
      <c r="B36" s="4" t="s">
        <v>66</v>
      </c>
      <c r="C36" s="6">
        <v>16.48</v>
      </c>
      <c r="D36" s="10">
        <v>1.0453319000000079</v>
      </c>
      <c r="E36" s="6">
        <v>17.22706971200013</v>
      </c>
      <c r="F36" s="11">
        <v>494.9778622</v>
      </c>
      <c r="G36" s="6">
        <v>11.836</v>
      </c>
      <c r="H36" s="6">
        <v>-4.8545213436000374</v>
      </c>
      <c r="I36" s="4">
        <v>1</v>
      </c>
      <c r="J36" s="9">
        <v>44551.441666666666</v>
      </c>
      <c r="K36" s="4">
        <v>9073.0593683590014</v>
      </c>
      <c r="L36" s="4">
        <v>5853.0547506815983</v>
      </c>
      <c r="M36" s="4" t="s">
        <v>9</v>
      </c>
      <c r="N36" s="6">
        <v>3.45</v>
      </c>
      <c r="O36" s="5">
        <v>0</v>
      </c>
      <c r="P36" s="6">
        <v>-3223.47</v>
      </c>
      <c r="Q36" s="5">
        <v>0</v>
      </c>
    </row>
    <row r="37" spans="1:17" x14ac:dyDescent="0.35">
      <c r="A37" s="9">
        <v>44367</v>
      </c>
      <c r="B37" s="4" t="s">
        <v>66</v>
      </c>
      <c r="C37" s="6">
        <v>14.33</v>
      </c>
      <c r="D37" s="10">
        <v>1.0501239999999825</v>
      </c>
      <c r="E37" s="6">
        <v>15.048276919999749</v>
      </c>
      <c r="F37" s="11">
        <v>494.9778622</v>
      </c>
      <c r="G37" s="6">
        <v>11.836</v>
      </c>
      <c r="H37" s="6">
        <v>-2.6190092559999556</v>
      </c>
      <c r="I37" s="4">
        <v>1</v>
      </c>
      <c r="J37" s="9">
        <v>44551.441666666666</v>
      </c>
      <c r="K37" s="4">
        <v>9073.0593683590014</v>
      </c>
      <c r="L37" s="4">
        <v>5853.0547506815983</v>
      </c>
      <c r="M37" s="4" t="s">
        <v>9</v>
      </c>
      <c r="N37" s="6">
        <v>3.45</v>
      </c>
      <c r="O37" s="5">
        <v>0</v>
      </c>
      <c r="P37" s="6">
        <v>-3223.47</v>
      </c>
      <c r="Q37" s="5">
        <v>0</v>
      </c>
    </row>
    <row r="38" spans="1:17" x14ac:dyDescent="0.35">
      <c r="A38" s="9">
        <v>44368</v>
      </c>
      <c r="B38" s="4" t="s">
        <v>66</v>
      </c>
      <c r="C38" s="6">
        <v>12.62</v>
      </c>
      <c r="D38" s="10">
        <v>0.8001269000000093</v>
      </c>
      <c r="E38" s="6">
        <v>10.097601478000117</v>
      </c>
      <c r="F38" s="11">
        <v>494.9778622</v>
      </c>
      <c r="G38" s="6">
        <v>11.836</v>
      </c>
      <c r="H38" s="6">
        <v>-0.6272994896000057</v>
      </c>
      <c r="I38" s="4">
        <v>1</v>
      </c>
      <c r="J38" s="9">
        <v>44551.441666666666</v>
      </c>
      <c r="K38" s="4">
        <v>9073.0593683590014</v>
      </c>
      <c r="L38" s="4">
        <v>5853.0547506815983</v>
      </c>
      <c r="M38" s="4" t="s">
        <v>9</v>
      </c>
      <c r="N38" s="6">
        <v>3.45</v>
      </c>
      <c r="O38" s="5">
        <v>0</v>
      </c>
      <c r="P38" s="6">
        <v>-3223.47</v>
      </c>
      <c r="Q38" s="5">
        <v>0</v>
      </c>
    </row>
    <row r="39" spans="1:17" x14ac:dyDescent="0.35">
      <c r="A39" s="9">
        <v>44369</v>
      </c>
      <c r="B39" s="4" t="s">
        <v>66</v>
      </c>
      <c r="C39" s="6">
        <v>13.22</v>
      </c>
      <c r="D39" s="10">
        <v>1.3241325999999844</v>
      </c>
      <c r="E39" s="6">
        <v>17.505032971999796</v>
      </c>
      <c r="F39" s="11">
        <v>494.9778622</v>
      </c>
      <c r="G39" s="6">
        <v>11.836</v>
      </c>
      <c r="H39" s="6">
        <v>-1.832599518399979</v>
      </c>
      <c r="I39" s="4">
        <v>1</v>
      </c>
      <c r="J39" s="9">
        <v>44551.441666666666</v>
      </c>
      <c r="K39" s="4">
        <v>9073.0593683590014</v>
      </c>
      <c r="L39" s="4">
        <v>5853.0547506815983</v>
      </c>
      <c r="M39" s="4" t="s">
        <v>9</v>
      </c>
      <c r="N39" s="6">
        <v>3.45</v>
      </c>
      <c r="O39" s="5">
        <v>0</v>
      </c>
      <c r="P39" s="6">
        <v>-3223.47</v>
      </c>
      <c r="Q39" s="5">
        <v>0</v>
      </c>
    </row>
    <row r="40" spans="1:17" x14ac:dyDescent="0.35">
      <c r="A40" s="9">
        <v>44370</v>
      </c>
      <c r="B40" s="4" t="s">
        <v>66</v>
      </c>
      <c r="C40" s="6">
        <v>14.55</v>
      </c>
      <c r="D40" s="10">
        <v>0.64330990000001975</v>
      </c>
      <c r="E40" s="6">
        <v>9.3601590450002874</v>
      </c>
      <c r="F40" s="11">
        <v>494.9778622</v>
      </c>
      <c r="G40" s="6">
        <v>11.836</v>
      </c>
      <c r="H40" s="6">
        <v>-1.7459430686000532</v>
      </c>
      <c r="I40" s="4">
        <v>1</v>
      </c>
      <c r="J40" s="9">
        <v>44551.441666666666</v>
      </c>
      <c r="K40" s="4">
        <v>9073.0593683590014</v>
      </c>
      <c r="L40" s="4">
        <v>5853.0547506815983</v>
      </c>
      <c r="M40" s="4" t="s">
        <v>9</v>
      </c>
      <c r="N40" s="6">
        <v>3.45</v>
      </c>
      <c r="O40" s="5">
        <v>0</v>
      </c>
      <c r="P40" s="6">
        <v>-3223.47</v>
      </c>
      <c r="Q40" s="5">
        <v>0</v>
      </c>
    </row>
    <row r="41" spans="1:17" x14ac:dyDescent="0.35">
      <c r="A41" s="9">
        <v>44371</v>
      </c>
      <c r="B41" s="4" t="s">
        <v>66</v>
      </c>
      <c r="C41" s="6">
        <v>13.84</v>
      </c>
      <c r="D41" s="10">
        <v>0.29238719999995055</v>
      </c>
      <c r="E41" s="6">
        <v>4.0466388479993158</v>
      </c>
      <c r="F41" s="11">
        <v>494.9778622</v>
      </c>
      <c r="G41" s="6">
        <v>11.836</v>
      </c>
      <c r="H41" s="6">
        <v>-0.58594394879990119</v>
      </c>
      <c r="I41" s="4">
        <v>1</v>
      </c>
      <c r="J41" s="9">
        <v>44551.441666666666</v>
      </c>
      <c r="K41" s="4">
        <v>9073.0593683590014</v>
      </c>
      <c r="L41" s="4">
        <v>5853.0547506815983</v>
      </c>
      <c r="M41" s="4" t="s">
        <v>9</v>
      </c>
      <c r="N41" s="6">
        <v>3.45</v>
      </c>
      <c r="O41" s="5">
        <v>0</v>
      </c>
      <c r="P41" s="6">
        <v>-3223.47</v>
      </c>
      <c r="Q41" s="5">
        <v>0</v>
      </c>
    </row>
    <row r="42" spans="1:17" x14ac:dyDescent="0.35">
      <c r="A42" s="9">
        <v>44372</v>
      </c>
      <c r="B42" s="4" t="s">
        <v>66</v>
      </c>
      <c r="C42" s="6">
        <v>12.36</v>
      </c>
      <c r="D42" s="10">
        <v>1.3910337000000368</v>
      </c>
      <c r="E42" s="6">
        <v>17.193176532000454</v>
      </c>
      <c r="F42" s="11">
        <v>494.9778622</v>
      </c>
      <c r="G42" s="6">
        <v>11.836</v>
      </c>
      <c r="H42" s="6">
        <v>-0.72890165880001945</v>
      </c>
      <c r="I42" s="4">
        <v>1</v>
      </c>
      <c r="J42" s="9">
        <v>44551.441666666666</v>
      </c>
      <c r="K42" s="4">
        <v>9073.0593683590014</v>
      </c>
      <c r="L42" s="4">
        <v>5853.0547506815983</v>
      </c>
      <c r="M42" s="4" t="s">
        <v>9</v>
      </c>
      <c r="N42" s="6">
        <v>3.45</v>
      </c>
      <c r="O42" s="5">
        <v>0</v>
      </c>
      <c r="P42" s="6">
        <v>-3223.47</v>
      </c>
      <c r="Q42" s="5">
        <v>0</v>
      </c>
    </row>
    <row r="43" spans="1:17" x14ac:dyDescent="0.35">
      <c r="A43" s="9">
        <v>44373</v>
      </c>
      <c r="B43" s="4" t="s">
        <v>66</v>
      </c>
      <c r="C43" s="6">
        <v>13.79</v>
      </c>
      <c r="D43" s="10">
        <v>0.87571059999999079</v>
      </c>
      <c r="E43" s="6">
        <v>12.076049173999873</v>
      </c>
      <c r="F43" s="11">
        <v>494.9778622</v>
      </c>
      <c r="G43" s="6">
        <v>11.836</v>
      </c>
      <c r="H43" s="6">
        <v>-1.711138512399982</v>
      </c>
      <c r="I43" s="4">
        <v>1</v>
      </c>
      <c r="J43" s="9">
        <v>44551.441666666666</v>
      </c>
      <c r="K43" s="4">
        <v>9073.0593683590014</v>
      </c>
      <c r="L43" s="4">
        <v>5853.0547506815983</v>
      </c>
      <c r="M43" s="4" t="s">
        <v>9</v>
      </c>
      <c r="N43" s="6">
        <v>3.45</v>
      </c>
      <c r="O43" s="5">
        <v>0</v>
      </c>
      <c r="P43" s="6">
        <v>-3223.47</v>
      </c>
      <c r="Q43" s="5">
        <v>0</v>
      </c>
    </row>
    <row r="44" spans="1:17" x14ac:dyDescent="0.35">
      <c r="A44" s="9">
        <v>44374</v>
      </c>
      <c r="B44" s="4" t="s">
        <v>66</v>
      </c>
      <c r="C44" s="6">
        <v>13.91</v>
      </c>
      <c r="D44" s="10">
        <v>0.49485329999998839</v>
      </c>
      <c r="E44" s="6">
        <v>6.8834094029998383</v>
      </c>
      <c r="F44" s="11">
        <v>494.9778622</v>
      </c>
      <c r="G44" s="6">
        <v>11.836</v>
      </c>
      <c r="H44" s="6">
        <v>-1.0263257441999754</v>
      </c>
      <c r="I44" s="4">
        <v>1</v>
      </c>
      <c r="J44" s="9">
        <v>44551.441666666666</v>
      </c>
      <c r="K44" s="4">
        <v>9073.0593683590014</v>
      </c>
      <c r="L44" s="4">
        <v>5853.0547506815983</v>
      </c>
      <c r="M44" s="4" t="s">
        <v>9</v>
      </c>
      <c r="N44" s="6">
        <v>3.45</v>
      </c>
      <c r="O44" s="5">
        <v>0</v>
      </c>
      <c r="P44" s="6">
        <v>-3223.47</v>
      </c>
      <c r="Q44" s="5">
        <v>0</v>
      </c>
    </row>
    <row r="45" spans="1:17" x14ac:dyDescent="0.35">
      <c r="A45" s="9">
        <v>44375</v>
      </c>
      <c r="B45" s="4" t="s">
        <v>66</v>
      </c>
      <c r="C45" s="6">
        <v>14.48</v>
      </c>
      <c r="D45" s="10">
        <v>1.1499001999999905</v>
      </c>
      <c r="E45" s="6">
        <v>16.650554895999861</v>
      </c>
      <c r="F45" s="11">
        <v>494.9778622</v>
      </c>
      <c r="G45" s="6">
        <v>11.836</v>
      </c>
      <c r="H45" s="6">
        <v>-3.0403361287999733</v>
      </c>
      <c r="I45" s="4">
        <v>1</v>
      </c>
      <c r="J45" s="9">
        <v>44551.441666666666</v>
      </c>
      <c r="K45" s="4">
        <v>9073.0593683590014</v>
      </c>
      <c r="L45" s="4">
        <v>5853.0547506815983</v>
      </c>
      <c r="M45" s="4" t="s">
        <v>9</v>
      </c>
      <c r="N45" s="6">
        <v>3.45</v>
      </c>
      <c r="O45" s="5">
        <v>0</v>
      </c>
      <c r="P45" s="6">
        <v>-3223.47</v>
      </c>
      <c r="Q45" s="5">
        <v>0</v>
      </c>
    </row>
    <row r="46" spans="1:17" x14ac:dyDescent="0.35">
      <c r="A46" s="9">
        <v>44376</v>
      </c>
      <c r="B46" s="4" t="s">
        <v>66</v>
      </c>
      <c r="C46" s="6">
        <v>14.17</v>
      </c>
      <c r="D46" s="10">
        <v>0.71408010000004651</v>
      </c>
      <c r="E46" s="6">
        <v>10.118515017000659</v>
      </c>
      <c r="F46" s="11">
        <v>494.9778622</v>
      </c>
      <c r="G46" s="6">
        <v>11.836</v>
      </c>
      <c r="H46" s="6">
        <v>-1.6666629534001078</v>
      </c>
      <c r="I46" s="4">
        <v>1</v>
      </c>
      <c r="J46" s="9">
        <v>44551.441666666666</v>
      </c>
      <c r="K46" s="4">
        <v>9073.0593683590014</v>
      </c>
      <c r="L46" s="4">
        <v>5853.0547506815983</v>
      </c>
      <c r="M46" s="4" t="s">
        <v>9</v>
      </c>
      <c r="N46" s="6">
        <v>3.45</v>
      </c>
      <c r="O46" s="5">
        <v>0</v>
      </c>
      <c r="P46" s="6">
        <v>-3223.47</v>
      </c>
      <c r="Q46" s="5">
        <v>0</v>
      </c>
    </row>
    <row r="47" spans="1:17" x14ac:dyDescent="0.35">
      <c r="A47" s="9">
        <v>44377</v>
      </c>
      <c r="B47" s="4" t="s">
        <v>66</v>
      </c>
      <c r="C47" s="6">
        <v>13.19</v>
      </c>
      <c r="D47" s="10">
        <v>0.34019339999997555</v>
      </c>
      <c r="E47" s="6">
        <v>4.4871509459996775</v>
      </c>
      <c r="F47" s="11">
        <v>494.9778622</v>
      </c>
      <c r="G47" s="6">
        <v>11.836</v>
      </c>
      <c r="H47" s="6">
        <v>-0.46062186359996637</v>
      </c>
      <c r="I47" s="4">
        <v>1</v>
      </c>
      <c r="J47" s="9">
        <v>44551.441666666666</v>
      </c>
      <c r="K47" s="4">
        <v>9073.0593683590014</v>
      </c>
      <c r="L47" s="4">
        <v>5853.0547506815983</v>
      </c>
      <c r="M47" s="4" t="s">
        <v>9</v>
      </c>
      <c r="N47" s="6">
        <v>3.45</v>
      </c>
      <c r="O47" s="5">
        <v>0</v>
      </c>
      <c r="P47" s="6">
        <v>-3223.47</v>
      </c>
      <c r="Q47" s="5">
        <v>0</v>
      </c>
    </row>
    <row r="48" spans="1:17" x14ac:dyDescent="0.35">
      <c r="A48" s="9">
        <v>44378</v>
      </c>
      <c r="B48" s="4" t="s">
        <v>66</v>
      </c>
      <c r="C48" s="6">
        <v>13.21</v>
      </c>
      <c r="D48" s="10">
        <v>1.4122014999999806</v>
      </c>
      <c r="E48" s="6">
        <v>18.655181814999743</v>
      </c>
      <c r="F48" s="11">
        <v>494.9778622</v>
      </c>
      <c r="G48" s="6">
        <v>11.836</v>
      </c>
      <c r="H48" s="6">
        <v>-1.9403648609999742</v>
      </c>
      <c r="I48" s="4">
        <v>1</v>
      </c>
      <c r="J48" s="9">
        <v>44551.441666666666</v>
      </c>
      <c r="K48" s="4">
        <v>9073.0593683590014</v>
      </c>
      <c r="L48" s="4">
        <v>5853.0547506815983</v>
      </c>
      <c r="M48" s="4" t="s">
        <v>9</v>
      </c>
      <c r="N48" s="6">
        <v>3.45</v>
      </c>
      <c r="O48" s="5">
        <v>0</v>
      </c>
      <c r="P48" s="6">
        <v>-3223.47</v>
      </c>
      <c r="Q48" s="5">
        <v>0</v>
      </c>
    </row>
    <row r="49" spans="1:17" x14ac:dyDescent="0.35">
      <c r="A49" s="9">
        <v>44379</v>
      </c>
      <c r="B49" s="4" t="s">
        <v>66</v>
      </c>
      <c r="C49" s="6">
        <v>13.88</v>
      </c>
      <c r="D49" s="10">
        <v>0.70288080000000264</v>
      </c>
      <c r="E49" s="6">
        <v>9.7559855040000372</v>
      </c>
      <c r="F49" s="11">
        <v>494.9778622</v>
      </c>
      <c r="G49" s="6">
        <v>11.836</v>
      </c>
      <c r="H49" s="6">
        <v>-1.4366883552000065</v>
      </c>
      <c r="I49" s="4">
        <v>1</v>
      </c>
      <c r="J49" s="9">
        <v>44551.441666666666</v>
      </c>
      <c r="K49" s="4">
        <v>9073.0593683590014</v>
      </c>
      <c r="L49" s="4">
        <v>5853.0547506815983</v>
      </c>
      <c r="M49" s="4" t="s">
        <v>9</v>
      </c>
      <c r="N49" s="6">
        <v>3.45</v>
      </c>
      <c r="O49" s="5">
        <v>0</v>
      </c>
      <c r="P49" s="6">
        <v>-3223.47</v>
      </c>
      <c r="Q49" s="5">
        <v>0</v>
      </c>
    </row>
    <row r="50" spans="1:17" x14ac:dyDescent="0.35">
      <c r="A50" s="9">
        <v>44380</v>
      </c>
      <c r="B50" s="4" t="s">
        <v>66</v>
      </c>
      <c r="C50" s="6">
        <v>14.85</v>
      </c>
      <c r="D50" s="10">
        <v>0.85278170000003684</v>
      </c>
      <c r="E50" s="6">
        <v>12.663808245000547</v>
      </c>
      <c r="F50" s="11">
        <v>494.9778622</v>
      </c>
      <c r="G50" s="6">
        <v>11.836</v>
      </c>
      <c r="H50" s="6">
        <v>-2.5702840438001111</v>
      </c>
      <c r="I50" s="4">
        <v>1</v>
      </c>
      <c r="J50" s="9">
        <v>44551.441666666666</v>
      </c>
      <c r="K50" s="4">
        <v>9073.0593683590014</v>
      </c>
      <c r="L50" s="4">
        <v>5853.0547506815983</v>
      </c>
      <c r="M50" s="4" t="s">
        <v>9</v>
      </c>
      <c r="N50" s="6">
        <v>3.45</v>
      </c>
      <c r="O50" s="5">
        <v>0</v>
      </c>
      <c r="P50" s="6">
        <v>-3223.47</v>
      </c>
      <c r="Q50" s="5">
        <v>0</v>
      </c>
    </row>
    <row r="51" spans="1:17" x14ac:dyDescent="0.35">
      <c r="A51" s="9">
        <v>44381</v>
      </c>
      <c r="B51" s="4" t="s">
        <v>66</v>
      </c>
      <c r="C51" s="6">
        <v>14.67</v>
      </c>
      <c r="D51" s="10">
        <v>0.77209649999997509</v>
      </c>
      <c r="E51" s="6">
        <v>11.326655654999634</v>
      </c>
      <c r="F51" s="11">
        <v>494.9778622</v>
      </c>
      <c r="G51" s="6">
        <v>11.836</v>
      </c>
      <c r="H51" s="6">
        <v>-2.1881214809999285</v>
      </c>
      <c r="I51" s="4">
        <v>1</v>
      </c>
      <c r="J51" s="9">
        <v>44551.441666666666</v>
      </c>
      <c r="K51" s="4">
        <v>9073.0593683590014</v>
      </c>
      <c r="L51" s="4">
        <v>5853.0547506815983</v>
      </c>
      <c r="M51" s="4" t="s">
        <v>9</v>
      </c>
      <c r="N51" s="6">
        <v>3.45</v>
      </c>
      <c r="O51" s="5">
        <v>0</v>
      </c>
      <c r="P51" s="6">
        <v>-3223.47</v>
      </c>
      <c r="Q51" s="5">
        <v>0</v>
      </c>
    </row>
    <row r="52" spans="1:17" x14ac:dyDescent="0.35">
      <c r="A52" s="9">
        <v>44382</v>
      </c>
      <c r="B52" s="4" t="s">
        <v>66</v>
      </c>
      <c r="C52" s="6">
        <v>15.46</v>
      </c>
      <c r="D52" s="10">
        <v>0.44279690000001892</v>
      </c>
      <c r="E52" s="6">
        <v>6.8456400740002925</v>
      </c>
      <c r="F52" s="11">
        <v>494.9778622</v>
      </c>
      <c r="G52" s="6">
        <v>11.836</v>
      </c>
      <c r="H52" s="6">
        <v>-1.6046959656000688</v>
      </c>
      <c r="I52" s="4">
        <v>1</v>
      </c>
      <c r="J52" s="9">
        <v>44551.441666666666</v>
      </c>
      <c r="K52" s="4">
        <v>9073.0593683590014</v>
      </c>
      <c r="L52" s="4">
        <v>5853.0547506815983</v>
      </c>
      <c r="M52" s="4" t="s">
        <v>9</v>
      </c>
      <c r="N52" s="6">
        <v>3.45</v>
      </c>
      <c r="O52" s="5">
        <v>0</v>
      </c>
      <c r="P52" s="6">
        <v>-3223.47</v>
      </c>
      <c r="Q52" s="5">
        <v>0</v>
      </c>
    </row>
    <row r="53" spans="1:17" x14ac:dyDescent="0.35">
      <c r="A53" s="9">
        <v>44383</v>
      </c>
      <c r="B53" s="4" t="s">
        <v>66</v>
      </c>
      <c r="C53" s="6">
        <v>15.55</v>
      </c>
      <c r="D53" s="10">
        <v>1.2696697999999742</v>
      </c>
      <c r="E53" s="6">
        <v>19.7433653899996</v>
      </c>
      <c r="F53" s="11">
        <v>494.9778622</v>
      </c>
      <c r="G53" s="6">
        <v>11.836</v>
      </c>
      <c r="H53" s="6">
        <v>-4.7155536371999052</v>
      </c>
      <c r="I53" s="4">
        <v>1</v>
      </c>
      <c r="J53" s="9">
        <v>44551.441666666666</v>
      </c>
      <c r="K53" s="4">
        <v>9073.0593683590014</v>
      </c>
      <c r="L53" s="4">
        <v>5853.0547506815983</v>
      </c>
      <c r="M53" s="4" t="s">
        <v>9</v>
      </c>
      <c r="N53" s="6">
        <v>3.45</v>
      </c>
      <c r="O53" s="5">
        <v>0</v>
      </c>
      <c r="P53" s="6">
        <v>-3223.47</v>
      </c>
      <c r="Q53" s="5">
        <v>0</v>
      </c>
    </row>
    <row r="54" spans="1:17" x14ac:dyDescent="0.35">
      <c r="A54" s="9">
        <v>44384</v>
      </c>
      <c r="B54" s="4" t="s">
        <v>66</v>
      </c>
      <c r="C54" s="6">
        <v>15.45</v>
      </c>
      <c r="D54" s="10">
        <v>0.78423100000003387</v>
      </c>
      <c r="E54" s="6">
        <v>12.116368950000524</v>
      </c>
      <c r="F54" s="11">
        <v>494.9778622</v>
      </c>
      <c r="G54" s="6">
        <v>11.836</v>
      </c>
      <c r="H54" s="6">
        <v>-2.8342108340001229</v>
      </c>
      <c r="I54" s="4">
        <v>1</v>
      </c>
      <c r="J54" s="9">
        <v>44551.441666666666</v>
      </c>
      <c r="K54" s="4">
        <v>9073.0593683590014</v>
      </c>
      <c r="L54" s="4">
        <v>5853.0547506815983</v>
      </c>
      <c r="M54" s="4" t="s">
        <v>9</v>
      </c>
      <c r="N54" s="6">
        <v>3.45</v>
      </c>
      <c r="O54" s="5">
        <v>0</v>
      </c>
      <c r="P54" s="6">
        <v>-3223.47</v>
      </c>
      <c r="Q54" s="5">
        <v>0</v>
      </c>
    </row>
    <row r="55" spans="1:17" x14ac:dyDescent="0.35">
      <c r="A55" s="9">
        <v>44385</v>
      </c>
      <c r="B55" s="4" t="s">
        <v>66</v>
      </c>
      <c r="C55" s="6">
        <v>14.26</v>
      </c>
      <c r="D55" s="10">
        <v>0.78064019999999346</v>
      </c>
      <c r="E55" s="6">
        <v>11.131929251999907</v>
      </c>
      <c r="F55" s="11">
        <v>494.9778622</v>
      </c>
      <c r="G55" s="6">
        <v>11.836</v>
      </c>
      <c r="H55" s="6">
        <v>-1.8922718447999838</v>
      </c>
      <c r="I55" s="4">
        <v>1</v>
      </c>
      <c r="J55" s="9">
        <v>44551.441666666666</v>
      </c>
      <c r="K55" s="4">
        <v>9073.0593683590014</v>
      </c>
      <c r="L55" s="4">
        <v>5853.0547506815983</v>
      </c>
      <c r="M55" s="4" t="s">
        <v>9</v>
      </c>
      <c r="N55" s="6">
        <v>3.45</v>
      </c>
      <c r="O55" s="5">
        <v>0</v>
      </c>
      <c r="P55" s="6">
        <v>-3223.47</v>
      </c>
      <c r="Q55" s="5">
        <v>0</v>
      </c>
    </row>
    <row r="56" spans="1:17" x14ac:dyDescent="0.35">
      <c r="A56" s="9">
        <v>44386</v>
      </c>
      <c r="B56" s="4" t="s">
        <v>66</v>
      </c>
      <c r="C56" s="6">
        <v>15.03</v>
      </c>
      <c r="D56" s="10">
        <v>0.9682765999999674</v>
      </c>
      <c r="E56" s="6">
        <v>14.55319729799951</v>
      </c>
      <c r="F56" s="11">
        <v>494.9778622</v>
      </c>
      <c r="G56" s="6">
        <v>11.836</v>
      </c>
      <c r="H56" s="6">
        <v>-3.0926754603998958</v>
      </c>
      <c r="I56" s="4">
        <v>1</v>
      </c>
      <c r="J56" s="9">
        <v>44551.441666666666</v>
      </c>
      <c r="K56" s="4">
        <v>9073.0593683590014</v>
      </c>
      <c r="L56" s="4">
        <v>5853.0547506815983</v>
      </c>
      <c r="M56" s="4" t="s">
        <v>9</v>
      </c>
      <c r="N56" s="6">
        <v>3.45</v>
      </c>
      <c r="O56" s="5">
        <v>0</v>
      </c>
      <c r="P56" s="6">
        <v>-3223.47</v>
      </c>
      <c r="Q56" s="5">
        <v>0</v>
      </c>
    </row>
    <row r="57" spans="1:17" x14ac:dyDescent="0.35">
      <c r="A57" s="9">
        <v>44387</v>
      </c>
      <c r="B57" s="4" t="s">
        <v>66</v>
      </c>
      <c r="C57" s="6">
        <v>15.47</v>
      </c>
      <c r="D57" s="10">
        <v>0.71943120000003091</v>
      </c>
      <c r="E57" s="6">
        <v>11.129600664000478</v>
      </c>
      <c r="F57" s="11">
        <v>494.9778622</v>
      </c>
      <c r="G57" s="6">
        <v>11.836</v>
      </c>
      <c r="H57" s="6">
        <v>-2.6144129808001111</v>
      </c>
      <c r="I57" s="4">
        <v>1</v>
      </c>
      <c r="J57" s="9">
        <v>44551.441666666666</v>
      </c>
      <c r="K57" s="4">
        <v>9073.0593683590014</v>
      </c>
      <c r="L57" s="4">
        <v>5853.0547506815983</v>
      </c>
      <c r="M57" s="4" t="s">
        <v>9</v>
      </c>
      <c r="N57" s="6">
        <v>3.45</v>
      </c>
      <c r="O57" s="5">
        <v>0</v>
      </c>
      <c r="P57" s="6">
        <v>-3223.47</v>
      </c>
      <c r="Q57" s="5">
        <v>0</v>
      </c>
    </row>
    <row r="58" spans="1:17" x14ac:dyDescent="0.35">
      <c r="A58" s="9">
        <v>44388</v>
      </c>
      <c r="B58" s="4" t="s">
        <v>66</v>
      </c>
      <c r="C58" s="6">
        <v>15.69</v>
      </c>
      <c r="D58" s="10">
        <v>0.22595659999996087</v>
      </c>
      <c r="E58" s="6">
        <v>3.545259053999386</v>
      </c>
      <c r="F58" s="11">
        <v>494.9778622</v>
      </c>
      <c r="G58" s="6">
        <v>11.836</v>
      </c>
      <c r="H58" s="6">
        <v>-0.87083673639984926</v>
      </c>
      <c r="I58" s="4">
        <v>1</v>
      </c>
      <c r="J58" s="9">
        <v>44551.441666666666</v>
      </c>
      <c r="K58" s="4">
        <v>9073.0593683590014</v>
      </c>
      <c r="L58" s="4">
        <v>5853.0547506815983</v>
      </c>
      <c r="M58" s="4" t="s">
        <v>9</v>
      </c>
      <c r="N58" s="6">
        <v>3.45</v>
      </c>
      <c r="O58" s="5">
        <v>0</v>
      </c>
      <c r="P58" s="6">
        <v>-3223.47</v>
      </c>
      <c r="Q58" s="5">
        <v>0</v>
      </c>
    </row>
    <row r="59" spans="1:17" x14ac:dyDescent="0.35">
      <c r="A59" s="9">
        <v>44389</v>
      </c>
      <c r="B59" s="4" t="s">
        <v>66</v>
      </c>
      <c r="C59" s="6">
        <v>15.66</v>
      </c>
      <c r="D59" s="10">
        <v>0.90956149999999525</v>
      </c>
      <c r="E59" s="6">
        <v>14.243733089999926</v>
      </c>
      <c r="F59" s="11">
        <v>494.9778622</v>
      </c>
      <c r="G59" s="6">
        <v>11.836</v>
      </c>
      <c r="H59" s="6">
        <v>-3.4781631759999829</v>
      </c>
      <c r="I59" s="4">
        <v>1</v>
      </c>
      <c r="J59" s="9">
        <v>44551.441666666666</v>
      </c>
      <c r="K59" s="4">
        <v>9073.0593683590014</v>
      </c>
      <c r="L59" s="4">
        <v>5853.0547506815983</v>
      </c>
      <c r="M59" s="4" t="s">
        <v>9</v>
      </c>
      <c r="N59" s="6">
        <v>3.45</v>
      </c>
      <c r="O59" s="5">
        <v>0</v>
      </c>
      <c r="P59" s="6">
        <v>-3223.47</v>
      </c>
      <c r="Q59" s="5">
        <v>0</v>
      </c>
    </row>
    <row r="60" spans="1:17" x14ac:dyDescent="0.35">
      <c r="A60" s="9">
        <v>44390</v>
      </c>
      <c r="B60" s="4" t="s">
        <v>66</v>
      </c>
      <c r="C60" s="6">
        <v>14.33</v>
      </c>
      <c r="D60" s="10">
        <v>1.4047290000000316</v>
      </c>
      <c r="E60" s="6">
        <v>20.129766570000452</v>
      </c>
      <c r="F60" s="11">
        <v>494.9778622</v>
      </c>
      <c r="G60" s="6">
        <v>11.836</v>
      </c>
      <c r="H60" s="6">
        <v>-3.503394126000078</v>
      </c>
      <c r="I60" s="4">
        <v>1</v>
      </c>
      <c r="J60" s="9">
        <v>44551.441666666666</v>
      </c>
      <c r="K60" s="4">
        <v>9073.0593683590014</v>
      </c>
      <c r="L60" s="4">
        <v>5853.0547506815983</v>
      </c>
      <c r="M60" s="4" t="s">
        <v>9</v>
      </c>
      <c r="N60" s="6">
        <v>3.45</v>
      </c>
      <c r="O60" s="5">
        <v>0</v>
      </c>
      <c r="P60" s="6">
        <v>-3223.47</v>
      </c>
      <c r="Q60" s="5">
        <v>0</v>
      </c>
    </row>
    <row r="61" spans="1:17" x14ac:dyDescent="0.35">
      <c r="A61" s="9">
        <v>44391</v>
      </c>
      <c r="B61" s="4" t="s">
        <v>66</v>
      </c>
      <c r="C61" s="6">
        <v>14.72</v>
      </c>
      <c r="D61" s="10">
        <v>1.1559535000000096</v>
      </c>
      <c r="E61" s="6">
        <v>17.015635520000142</v>
      </c>
      <c r="F61" s="11">
        <v>494.9778622</v>
      </c>
      <c r="G61" s="6">
        <v>11.836</v>
      </c>
      <c r="H61" s="6">
        <v>-3.333769894000028</v>
      </c>
      <c r="I61" s="4">
        <v>1</v>
      </c>
      <c r="J61" s="9">
        <v>44551.441666666666</v>
      </c>
      <c r="K61" s="4">
        <v>9073.0593683590014</v>
      </c>
      <c r="L61" s="4">
        <v>5853.0547506815983</v>
      </c>
      <c r="M61" s="4" t="s">
        <v>9</v>
      </c>
      <c r="N61" s="6">
        <v>3.45</v>
      </c>
      <c r="O61" s="5">
        <v>0</v>
      </c>
      <c r="P61" s="6">
        <v>-3223.47</v>
      </c>
      <c r="Q61" s="5">
        <v>0</v>
      </c>
    </row>
    <row r="62" spans="1:17" x14ac:dyDescent="0.35">
      <c r="A62" s="9">
        <v>44392</v>
      </c>
      <c r="B62" s="4" t="s">
        <v>66</v>
      </c>
      <c r="C62" s="6">
        <v>13.24</v>
      </c>
      <c r="D62" s="10">
        <v>0.46795900000000756</v>
      </c>
      <c r="E62" s="6">
        <v>6.1957771600000999</v>
      </c>
      <c r="F62" s="11">
        <v>494.9778622</v>
      </c>
      <c r="G62" s="6">
        <v>11.836</v>
      </c>
      <c r="H62" s="6">
        <v>-0.65701443600001053</v>
      </c>
      <c r="I62" s="4">
        <v>1</v>
      </c>
      <c r="J62" s="9">
        <v>44551.441666666666</v>
      </c>
      <c r="K62" s="4">
        <v>9073.0593683590014</v>
      </c>
      <c r="L62" s="4">
        <v>5853.0547506815983</v>
      </c>
      <c r="M62" s="4" t="s">
        <v>9</v>
      </c>
      <c r="N62" s="6">
        <v>3.45</v>
      </c>
      <c r="O62" s="5">
        <v>0</v>
      </c>
      <c r="P62" s="6">
        <v>-3223.47</v>
      </c>
      <c r="Q62" s="5">
        <v>0</v>
      </c>
    </row>
    <row r="63" spans="1:17" x14ac:dyDescent="0.35">
      <c r="A63" s="9">
        <v>44393</v>
      </c>
      <c r="B63" s="4" t="s">
        <v>66</v>
      </c>
      <c r="C63" s="6">
        <v>13.86</v>
      </c>
      <c r="D63" s="10">
        <v>1.5111969999999815</v>
      </c>
      <c r="E63" s="6">
        <v>20.945190419999744</v>
      </c>
      <c r="F63" s="11">
        <v>494.9778622</v>
      </c>
      <c r="G63" s="6">
        <v>11.836</v>
      </c>
      <c r="H63" s="6">
        <v>-3.0586627279999625</v>
      </c>
      <c r="I63" s="4">
        <v>1</v>
      </c>
      <c r="J63" s="9">
        <v>44551.441666666666</v>
      </c>
      <c r="K63" s="4">
        <v>9073.0593683590014</v>
      </c>
      <c r="L63" s="4">
        <v>5853.0547506815983</v>
      </c>
      <c r="M63" s="4" t="s">
        <v>9</v>
      </c>
      <c r="N63" s="6">
        <v>3.45</v>
      </c>
      <c r="O63" s="5">
        <v>0</v>
      </c>
      <c r="P63" s="6">
        <v>-3223.47</v>
      </c>
      <c r="Q63" s="5">
        <v>0</v>
      </c>
    </row>
    <row r="64" spans="1:17" x14ac:dyDescent="0.35">
      <c r="A64" s="9">
        <v>44394</v>
      </c>
      <c r="B64" s="4" t="s">
        <v>66</v>
      </c>
      <c r="C64" s="6">
        <v>13.45</v>
      </c>
      <c r="D64" s="10">
        <v>0.13336590000000115</v>
      </c>
      <c r="E64" s="6">
        <v>1.7937713550000154</v>
      </c>
      <c r="F64" s="11">
        <v>494.9778622</v>
      </c>
      <c r="G64" s="6">
        <v>11.836</v>
      </c>
      <c r="H64" s="6">
        <v>-0.2152525626000017</v>
      </c>
      <c r="I64" s="4">
        <v>1</v>
      </c>
      <c r="J64" s="9">
        <v>44551.441666666666</v>
      </c>
      <c r="K64" s="4">
        <v>9073.0593683590014</v>
      </c>
      <c r="L64" s="4">
        <v>5853.0547506815983</v>
      </c>
      <c r="M64" s="4" t="s">
        <v>9</v>
      </c>
      <c r="N64" s="6">
        <v>3.45</v>
      </c>
      <c r="O64" s="5">
        <v>0</v>
      </c>
      <c r="P64" s="6">
        <v>-3223.47</v>
      </c>
      <c r="Q64" s="5">
        <v>0</v>
      </c>
    </row>
    <row r="65" spans="1:17" x14ac:dyDescent="0.35">
      <c r="A65" s="9">
        <v>44395</v>
      </c>
      <c r="B65" s="4" t="s">
        <v>66</v>
      </c>
      <c r="C65" s="6">
        <v>12.17</v>
      </c>
      <c r="D65" s="10">
        <v>0.65834510000001956</v>
      </c>
      <c r="E65" s="6">
        <v>8.0120598670002376</v>
      </c>
      <c r="F65" s="11">
        <v>494.9778622</v>
      </c>
      <c r="G65" s="6">
        <v>11.836</v>
      </c>
      <c r="H65" s="6">
        <v>-0.21988726340000575</v>
      </c>
      <c r="I65" s="4">
        <v>1</v>
      </c>
      <c r="J65" s="9">
        <v>44551.441666666666</v>
      </c>
      <c r="K65" s="4">
        <v>9073.0593683590014</v>
      </c>
      <c r="L65" s="4">
        <v>5853.0547506815983</v>
      </c>
      <c r="M65" s="4" t="s">
        <v>9</v>
      </c>
      <c r="N65" s="6">
        <v>3.45</v>
      </c>
      <c r="O65" s="5">
        <v>0</v>
      </c>
      <c r="P65" s="6">
        <v>-3223.47</v>
      </c>
      <c r="Q65" s="5">
        <v>0</v>
      </c>
    </row>
    <row r="66" spans="1:17" x14ac:dyDescent="0.35">
      <c r="A66" s="9">
        <v>44396</v>
      </c>
      <c r="B66" s="4" t="s">
        <v>66</v>
      </c>
      <c r="C66" s="6">
        <v>12.52</v>
      </c>
      <c r="D66" s="10">
        <v>0.8229778999999553</v>
      </c>
      <c r="E66" s="6">
        <v>10.303683307999441</v>
      </c>
      <c r="F66" s="11">
        <v>494.9778622</v>
      </c>
      <c r="G66" s="6">
        <v>11.836</v>
      </c>
      <c r="H66" s="6">
        <v>-0.56291688359996961</v>
      </c>
      <c r="I66" s="4">
        <v>1</v>
      </c>
      <c r="J66" s="9">
        <v>44551.441666666666</v>
      </c>
      <c r="K66" s="4">
        <v>9073.0593683590014</v>
      </c>
      <c r="L66" s="4">
        <v>5853.0547506815983</v>
      </c>
      <c r="M66" s="4" t="s">
        <v>9</v>
      </c>
      <c r="N66" s="6">
        <v>3.45</v>
      </c>
      <c r="O66" s="5">
        <v>0</v>
      </c>
      <c r="P66" s="6">
        <v>-3223.47</v>
      </c>
      <c r="Q66" s="5">
        <v>0</v>
      </c>
    </row>
    <row r="67" spans="1:17" x14ac:dyDescent="0.35">
      <c r="A67" s="9">
        <v>44397</v>
      </c>
      <c r="B67" s="4" t="s">
        <v>66</v>
      </c>
      <c r="C67" s="6">
        <v>12.35</v>
      </c>
      <c r="D67" s="10">
        <v>1.2107838000000015</v>
      </c>
      <c r="E67" s="6">
        <v>14.953179930000019</v>
      </c>
      <c r="F67" s="11">
        <v>494.9778622</v>
      </c>
      <c r="G67" s="6">
        <v>11.836</v>
      </c>
      <c r="H67" s="6">
        <v>-0.62234287320000092</v>
      </c>
      <c r="I67" s="4">
        <v>1</v>
      </c>
      <c r="J67" s="9">
        <v>44551.441666666666</v>
      </c>
      <c r="K67" s="4">
        <v>9073.0593683590014</v>
      </c>
      <c r="L67" s="4">
        <v>5853.0547506815983</v>
      </c>
      <c r="M67" s="4" t="s">
        <v>9</v>
      </c>
      <c r="N67" s="6">
        <v>3.45</v>
      </c>
      <c r="O67" s="5">
        <v>0</v>
      </c>
      <c r="P67" s="6">
        <v>-3223.47</v>
      </c>
      <c r="Q67" s="5">
        <v>0</v>
      </c>
    </row>
    <row r="68" spans="1:17" x14ac:dyDescent="0.35">
      <c r="A68" s="9">
        <v>44398</v>
      </c>
      <c r="B68" s="4" t="s">
        <v>66</v>
      </c>
      <c r="C68" s="6">
        <v>13.71</v>
      </c>
      <c r="D68" s="10">
        <v>0.36150230000004058</v>
      </c>
      <c r="E68" s="6">
        <v>4.956196533000556</v>
      </c>
      <c r="F68" s="11">
        <v>494.9778622</v>
      </c>
      <c r="G68" s="6">
        <v>11.836</v>
      </c>
      <c r="H68" s="6">
        <v>-0.67745531020007554</v>
      </c>
      <c r="I68" s="4">
        <v>1</v>
      </c>
      <c r="J68" s="9">
        <v>44551.441666666666</v>
      </c>
      <c r="K68" s="4">
        <v>9073.0593683590014</v>
      </c>
      <c r="L68" s="4">
        <v>5853.0547506815983</v>
      </c>
      <c r="M68" s="4" t="s">
        <v>9</v>
      </c>
      <c r="N68" s="6">
        <v>3.45</v>
      </c>
      <c r="O68" s="5">
        <v>0</v>
      </c>
      <c r="P68" s="6">
        <v>-3223.47</v>
      </c>
      <c r="Q68" s="5">
        <v>0</v>
      </c>
    </row>
    <row r="69" spans="1:17" x14ac:dyDescent="0.35">
      <c r="A69" s="9">
        <v>44399</v>
      </c>
      <c r="B69" s="4" t="s">
        <v>66</v>
      </c>
      <c r="C69" s="6">
        <v>13.1</v>
      </c>
      <c r="D69" s="10">
        <v>0.14679339999997865</v>
      </c>
      <c r="E69" s="6">
        <v>1.9229935399997202</v>
      </c>
      <c r="F69" s="11">
        <v>494.9778622</v>
      </c>
      <c r="G69" s="6">
        <v>11.836</v>
      </c>
      <c r="H69" s="6">
        <v>-0.18554685759997303</v>
      </c>
      <c r="I69" s="4">
        <v>1</v>
      </c>
      <c r="J69" s="9">
        <v>44551.441666666666</v>
      </c>
      <c r="K69" s="4">
        <v>9073.0593683590014</v>
      </c>
      <c r="L69" s="4">
        <v>5853.0547506815983</v>
      </c>
      <c r="M69" s="4" t="s">
        <v>9</v>
      </c>
      <c r="N69" s="6">
        <v>3.45</v>
      </c>
      <c r="O69" s="5">
        <v>0</v>
      </c>
      <c r="P69" s="6">
        <v>-3223.47</v>
      </c>
      <c r="Q69" s="5">
        <v>0</v>
      </c>
    </row>
    <row r="70" spans="1:17" x14ac:dyDescent="0.35">
      <c r="A70" s="9">
        <v>44400</v>
      </c>
      <c r="B70" s="4" t="s">
        <v>66</v>
      </c>
      <c r="C70" s="6">
        <v>14.11</v>
      </c>
      <c r="D70" s="10">
        <v>0.52336289999999508</v>
      </c>
      <c r="E70" s="6">
        <v>7.3846505189999307</v>
      </c>
      <c r="F70" s="11">
        <v>494.9778622</v>
      </c>
      <c r="G70" s="6">
        <v>11.836</v>
      </c>
      <c r="H70" s="6">
        <v>-1.1901272345999887</v>
      </c>
      <c r="I70" s="4">
        <v>1</v>
      </c>
      <c r="J70" s="9">
        <v>44551.441666666666</v>
      </c>
      <c r="K70" s="4">
        <v>9073.0593683590014</v>
      </c>
      <c r="L70" s="4">
        <v>5853.0547506815983</v>
      </c>
      <c r="M70" s="4" t="s">
        <v>9</v>
      </c>
      <c r="N70" s="6">
        <v>3.45</v>
      </c>
      <c r="O70" s="5">
        <v>0</v>
      </c>
      <c r="P70" s="6">
        <v>-3223.47</v>
      </c>
      <c r="Q70" s="5">
        <v>0</v>
      </c>
    </row>
    <row r="71" spans="1:17" x14ac:dyDescent="0.35">
      <c r="A71" s="9">
        <v>44401</v>
      </c>
      <c r="B71" s="4" t="s">
        <v>66</v>
      </c>
      <c r="C71" s="6">
        <v>14.29</v>
      </c>
      <c r="D71" s="10">
        <v>0.56473629999999275</v>
      </c>
      <c r="E71" s="6">
        <v>8.0700817269998968</v>
      </c>
      <c r="F71" s="11">
        <v>494.9778622</v>
      </c>
      <c r="G71" s="6">
        <v>11.836</v>
      </c>
      <c r="H71" s="6">
        <v>-1.3858628801999826</v>
      </c>
      <c r="I71" s="4">
        <v>1</v>
      </c>
      <c r="J71" s="9">
        <v>44551.441666666666</v>
      </c>
      <c r="K71" s="4">
        <v>9073.0593683590014</v>
      </c>
      <c r="L71" s="4">
        <v>5853.0547506815983</v>
      </c>
      <c r="M71" s="4" t="s">
        <v>9</v>
      </c>
      <c r="N71" s="6">
        <v>3.45</v>
      </c>
      <c r="O71" s="5">
        <v>0</v>
      </c>
      <c r="P71" s="6">
        <v>-3223.47</v>
      </c>
      <c r="Q71" s="5">
        <v>0</v>
      </c>
    </row>
    <row r="72" spans="1:17" x14ac:dyDescent="0.35">
      <c r="A72" s="9">
        <v>44402</v>
      </c>
      <c r="B72" s="4" t="s">
        <v>66</v>
      </c>
      <c r="C72" s="6">
        <v>14.17</v>
      </c>
      <c r="D72" s="10">
        <v>0.93061090000003333</v>
      </c>
      <c r="E72" s="6">
        <v>13.186756453000472</v>
      </c>
      <c r="F72" s="11">
        <v>494.9778622</v>
      </c>
      <c r="G72" s="6">
        <v>11.836</v>
      </c>
      <c r="H72" s="6">
        <v>-2.1720458406000773</v>
      </c>
      <c r="I72" s="4">
        <v>1</v>
      </c>
      <c r="J72" s="9">
        <v>44551.441666666666</v>
      </c>
      <c r="K72" s="4">
        <v>9073.0593683590014</v>
      </c>
      <c r="L72" s="4">
        <v>5853.0547506815983</v>
      </c>
      <c r="M72" s="4" t="s">
        <v>9</v>
      </c>
      <c r="N72" s="6">
        <v>3.45</v>
      </c>
      <c r="O72" s="5">
        <v>0</v>
      </c>
      <c r="P72" s="6">
        <v>-3223.47</v>
      </c>
      <c r="Q72" s="5">
        <v>0</v>
      </c>
    </row>
    <row r="73" spans="1:17" x14ac:dyDescent="0.35">
      <c r="A73" s="9">
        <v>44403</v>
      </c>
      <c r="B73" s="4" t="s">
        <v>66</v>
      </c>
      <c r="C73" s="6">
        <v>15.62</v>
      </c>
      <c r="D73" s="10">
        <v>7.7817199999969944E-2</v>
      </c>
      <c r="E73" s="6">
        <v>1.2155046639995306</v>
      </c>
      <c r="F73" s="11">
        <v>494.9778622</v>
      </c>
      <c r="G73" s="6">
        <v>11.836</v>
      </c>
      <c r="H73" s="6">
        <v>-0.29446028479988628</v>
      </c>
      <c r="I73" s="4">
        <v>1</v>
      </c>
      <c r="J73" s="9">
        <v>44551.441666666666</v>
      </c>
      <c r="K73" s="4">
        <v>9073.0593683590014</v>
      </c>
      <c r="L73" s="4">
        <v>5853.0547506815983</v>
      </c>
      <c r="M73" s="4" t="s">
        <v>9</v>
      </c>
      <c r="N73" s="6">
        <v>3.45</v>
      </c>
      <c r="O73" s="5">
        <v>0</v>
      </c>
      <c r="P73" s="6">
        <v>-3223.47</v>
      </c>
      <c r="Q73" s="5">
        <v>0</v>
      </c>
    </row>
    <row r="74" spans="1:17" x14ac:dyDescent="0.35">
      <c r="A74" s="9">
        <v>44404</v>
      </c>
      <c r="B74" s="4" t="s">
        <v>66</v>
      </c>
      <c r="C74" s="6">
        <v>15.18</v>
      </c>
      <c r="D74" s="10">
        <v>1.3382263000000307</v>
      </c>
      <c r="E74" s="6">
        <v>20.314275234000466</v>
      </c>
      <c r="F74" s="11">
        <v>494.9778622</v>
      </c>
      <c r="G74" s="6">
        <v>11.836</v>
      </c>
      <c r="H74" s="6">
        <v>-4.4750287472001009</v>
      </c>
      <c r="I74" s="4">
        <v>1</v>
      </c>
      <c r="J74" s="9">
        <v>44551.441666666666</v>
      </c>
      <c r="K74" s="4">
        <v>9073.0593683590014</v>
      </c>
      <c r="L74" s="4">
        <v>5853.0547506815983</v>
      </c>
      <c r="M74" s="4" t="s">
        <v>9</v>
      </c>
      <c r="N74" s="6">
        <v>3.45</v>
      </c>
      <c r="O74" s="5">
        <v>0</v>
      </c>
      <c r="P74" s="6">
        <v>-3223.47</v>
      </c>
      <c r="Q74" s="5">
        <v>0</v>
      </c>
    </row>
    <row r="75" spans="1:17" x14ac:dyDescent="0.35">
      <c r="A75" s="9">
        <v>44405</v>
      </c>
      <c r="B75" s="4" t="s">
        <v>66</v>
      </c>
      <c r="C75" s="6">
        <v>15.32</v>
      </c>
      <c r="D75" s="10">
        <v>1.2744746999999848</v>
      </c>
      <c r="E75" s="6">
        <v>19.524952403999766</v>
      </c>
      <c r="F75" s="11">
        <v>494.9778622</v>
      </c>
      <c r="G75" s="6">
        <v>11.836</v>
      </c>
      <c r="H75" s="6">
        <v>-4.4402698547999453</v>
      </c>
      <c r="I75" s="4">
        <v>1</v>
      </c>
      <c r="J75" s="9">
        <v>44551.441666666666</v>
      </c>
      <c r="K75" s="4">
        <v>9073.0593683590014</v>
      </c>
      <c r="L75" s="4">
        <v>5853.0547506815983</v>
      </c>
      <c r="M75" s="4" t="s">
        <v>9</v>
      </c>
      <c r="N75" s="6">
        <v>3.45</v>
      </c>
      <c r="O75" s="5">
        <v>0</v>
      </c>
      <c r="P75" s="6">
        <v>-3223.47</v>
      </c>
      <c r="Q75" s="5">
        <v>0</v>
      </c>
    </row>
    <row r="76" spans="1:17" x14ac:dyDescent="0.35">
      <c r="A76" s="9">
        <v>44406</v>
      </c>
      <c r="B76" s="4" t="s">
        <v>66</v>
      </c>
      <c r="C76" s="6">
        <v>15.64</v>
      </c>
      <c r="D76" s="10">
        <v>0.67056609999997363</v>
      </c>
      <c r="E76" s="6">
        <v>10.487653803999587</v>
      </c>
      <c r="F76" s="11">
        <v>494.9778622</v>
      </c>
      <c r="G76" s="6">
        <v>11.836</v>
      </c>
      <c r="H76" s="6">
        <v>-2.550833444399899</v>
      </c>
      <c r="I76" s="4">
        <v>1</v>
      </c>
      <c r="J76" s="9">
        <v>44551.441666666666</v>
      </c>
      <c r="K76" s="4">
        <v>9073.0593683590014</v>
      </c>
      <c r="L76" s="4">
        <v>5853.0547506815983</v>
      </c>
      <c r="M76" s="4" t="s">
        <v>9</v>
      </c>
      <c r="N76" s="6">
        <v>3.45</v>
      </c>
      <c r="O76" s="5">
        <v>0</v>
      </c>
      <c r="P76" s="6">
        <v>-3223.47</v>
      </c>
      <c r="Q76" s="5">
        <v>0</v>
      </c>
    </row>
    <row r="77" spans="1:17" x14ac:dyDescent="0.35">
      <c r="A77" s="9">
        <v>44407</v>
      </c>
      <c r="B77" s="4" t="s">
        <v>66</v>
      </c>
      <c r="C77" s="6">
        <v>16.95</v>
      </c>
      <c r="D77" s="10">
        <v>0.54421010000004344</v>
      </c>
      <c r="E77" s="6">
        <v>9.2243611950007356</v>
      </c>
      <c r="F77" s="11">
        <v>494.9778622</v>
      </c>
      <c r="G77" s="6">
        <v>11.836</v>
      </c>
      <c r="H77" s="6">
        <v>-2.7830904514002217</v>
      </c>
      <c r="I77" s="4">
        <v>1</v>
      </c>
      <c r="J77" s="9">
        <v>44551.441666666666</v>
      </c>
      <c r="K77" s="4">
        <v>9073.0593683590014</v>
      </c>
      <c r="L77" s="4">
        <v>5853.0547506815983</v>
      </c>
      <c r="M77" s="4" t="s">
        <v>9</v>
      </c>
      <c r="N77" s="6">
        <v>3.45</v>
      </c>
      <c r="O77" s="5">
        <v>0</v>
      </c>
      <c r="P77" s="6">
        <v>-3223.47</v>
      </c>
      <c r="Q77" s="5">
        <v>0</v>
      </c>
    </row>
    <row r="78" spans="1:17" x14ac:dyDescent="0.35">
      <c r="A78" s="9">
        <v>44408</v>
      </c>
      <c r="B78" s="4" t="s">
        <v>66</v>
      </c>
      <c r="C78" s="6">
        <v>16.75</v>
      </c>
      <c r="D78" s="10">
        <v>1.2E-2</v>
      </c>
      <c r="E78" s="6">
        <v>0.20100000000000001</v>
      </c>
      <c r="F78" s="11">
        <v>494.9778622</v>
      </c>
      <c r="G78" s="6">
        <v>11.836</v>
      </c>
      <c r="H78" s="6">
        <v>-5.8967999999999993E-2</v>
      </c>
      <c r="I78" s="4">
        <v>1</v>
      </c>
      <c r="J78" s="9">
        <v>44551.441666666666</v>
      </c>
      <c r="K78" s="4">
        <v>9073.0593683590014</v>
      </c>
      <c r="L78" s="4">
        <v>5853.0547506815983</v>
      </c>
      <c r="M78" s="4" t="s">
        <v>9</v>
      </c>
      <c r="N78" s="6">
        <v>3.45</v>
      </c>
      <c r="O78" s="5">
        <v>0</v>
      </c>
      <c r="P78" s="6">
        <v>-3223.47</v>
      </c>
      <c r="Q78" s="5">
        <v>0</v>
      </c>
    </row>
    <row r="79" spans="1:17" x14ac:dyDescent="0.35">
      <c r="A79" s="9">
        <v>44409</v>
      </c>
      <c r="B79" s="4" t="s">
        <v>66</v>
      </c>
      <c r="C79" s="6">
        <v>16.79</v>
      </c>
      <c r="D79" s="10">
        <v>0.32518570000002001</v>
      </c>
      <c r="E79" s="6">
        <v>5.4598679030003359</v>
      </c>
      <c r="F79" s="11">
        <v>494.9778622</v>
      </c>
      <c r="G79" s="6">
        <v>11.836</v>
      </c>
      <c r="H79" s="6">
        <v>-1.6109699578000991</v>
      </c>
      <c r="I79" s="4">
        <v>1</v>
      </c>
      <c r="J79" s="9">
        <v>44551.441666666666</v>
      </c>
      <c r="K79" s="4">
        <v>9073.0593683590014</v>
      </c>
      <c r="L79" s="4">
        <v>5853.0547506815983</v>
      </c>
      <c r="M79" s="4" t="s">
        <v>9</v>
      </c>
      <c r="N79" s="6">
        <v>3.45</v>
      </c>
      <c r="O79" s="5">
        <v>0</v>
      </c>
      <c r="P79" s="6">
        <v>-3223.47</v>
      </c>
      <c r="Q79" s="5">
        <v>0</v>
      </c>
    </row>
    <row r="80" spans="1:17" x14ac:dyDescent="0.35">
      <c r="A80" s="9">
        <v>44410</v>
      </c>
      <c r="B80" s="4" t="s">
        <v>66</v>
      </c>
      <c r="C80" s="6">
        <v>16.41</v>
      </c>
      <c r="D80" s="10">
        <v>0.69543260000000373</v>
      </c>
      <c r="E80" s="6">
        <v>11.412048966000061</v>
      </c>
      <c r="F80" s="11">
        <v>494.9778622</v>
      </c>
      <c r="G80" s="6">
        <v>11.836</v>
      </c>
      <c r="H80" s="6">
        <v>-3.1809087124000168</v>
      </c>
      <c r="I80" s="4">
        <v>1</v>
      </c>
      <c r="J80" s="9">
        <v>44551.441666666666</v>
      </c>
      <c r="K80" s="4">
        <v>9073.0593683590014</v>
      </c>
      <c r="L80" s="4">
        <v>5853.0547506815983</v>
      </c>
      <c r="M80" s="4" t="s">
        <v>9</v>
      </c>
      <c r="N80" s="6">
        <v>3.45</v>
      </c>
      <c r="O80" s="5">
        <v>0</v>
      </c>
      <c r="P80" s="6">
        <v>-3223.47</v>
      </c>
      <c r="Q80" s="5">
        <v>0</v>
      </c>
    </row>
    <row r="81" spans="1:17" x14ac:dyDescent="0.35">
      <c r="A81" s="9">
        <v>44411</v>
      </c>
      <c r="B81" s="4" t="s">
        <v>66</v>
      </c>
      <c r="C81" s="6">
        <v>17.25</v>
      </c>
      <c r="D81" s="10">
        <v>0.51176370000001725</v>
      </c>
      <c r="E81" s="6">
        <v>8.8279238250002976</v>
      </c>
      <c r="F81" s="11">
        <v>494.9778622</v>
      </c>
      <c r="G81" s="6">
        <v>11.836</v>
      </c>
      <c r="H81" s="6">
        <v>-2.7706886718000936</v>
      </c>
      <c r="I81" s="4">
        <v>1</v>
      </c>
      <c r="J81" s="9">
        <v>44551.441666666666</v>
      </c>
      <c r="K81" s="4">
        <v>9073.0593683590014</v>
      </c>
      <c r="L81" s="4">
        <v>5853.0547506815983</v>
      </c>
      <c r="M81" s="4" t="s">
        <v>9</v>
      </c>
      <c r="N81" s="6">
        <v>3.45</v>
      </c>
      <c r="O81" s="5">
        <v>0</v>
      </c>
      <c r="P81" s="6">
        <v>-3223.47</v>
      </c>
      <c r="Q81" s="5">
        <v>0</v>
      </c>
    </row>
    <row r="82" spans="1:17" x14ac:dyDescent="0.35">
      <c r="A82" s="9">
        <v>44412</v>
      </c>
      <c r="B82" s="4" t="s">
        <v>66</v>
      </c>
      <c r="C82" s="6">
        <v>18.82</v>
      </c>
      <c r="D82" s="10">
        <v>0.51382259999996904</v>
      </c>
      <c r="E82" s="6">
        <v>9.6701413319994174</v>
      </c>
      <c r="F82" s="11">
        <v>494.9778622</v>
      </c>
      <c r="G82" s="6">
        <v>11.836</v>
      </c>
      <c r="H82" s="6">
        <v>-3.5885370383997834</v>
      </c>
      <c r="I82" s="4">
        <v>1</v>
      </c>
      <c r="J82" s="9">
        <v>44551.441666666666</v>
      </c>
      <c r="K82" s="4">
        <v>9073.0593683590014</v>
      </c>
      <c r="L82" s="4">
        <v>5853.0547506815983</v>
      </c>
      <c r="M82" s="4" t="s">
        <v>9</v>
      </c>
      <c r="N82" s="6">
        <v>3.45</v>
      </c>
      <c r="O82" s="5">
        <v>0</v>
      </c>
      <c r="P82" s="6">
        <v>-3223.47</v>
      </c>
      <c r="Q82" s="5">
        <v>0</v>
      </c>
    </row>
    <row r="83" spans="1:17" x14ac:dyDescent="0.35">
      <c r="A83" s="9">
        <v>44413</v>
      </c>
      <c r="B83" s="4" t="s">
        <v>66</v>
      </c>
      <c r="C83" s="6">
        <v>18.45</v>
      </c>
      <c r="D83" s="10">
        <v>0.67671690000003082</v>
      </c>
      <c r="E83" s="6">
        <v>12.485426805000568</v>
      </c>
      <c r="F83" s="11">
        <v>494.9778622</v>
      </c>
      <c r="G83" s="6">
        <v>11.836</v>
      </c>
      <c r="H83" s="6">
        <v>-4.4758055766002034</v>
      </c>
      <c r="I83" s="4">
        <v>1</v>
      </c>
      <c r="J83" s="9">
        <v>44551.441666666666</v>
      </c>
      <c r="K83" s="4">
        <v>9073.0593683590014</v>
      </c>
      <c r="L83" s="4">
        <v>5853.0547506815983</v>
      </c>
      <c r="M83" s="4" t="s">
        <v>9</v>
      </c>
      <c r="N83" s="6">
        <v>3.45</v>
      </c>
      <c r="O83" s="5">
        <v>0</v>
      </c>
      <c r="P83" s="6">
        <v>-3223.47</v>
      </c>
      <c r="Q83" s="5">
        <v>0</v>
      </c>
    </row>
    <row r="84" spans="1:17" x14ac:dyDescent="0.35">
      <c r="A84" s="9">
        <v>44414</v>
      </c>
      <c r="B84" s="4" t="s">
        <v>66</v>
      </c>
      <c r="C84" s="6">
        <v>18.690000000000001</v>
      </c>
      <c r="D84" s="10">
        <v>1.1365566999999714</v>
      </c>
      <c r="E84" s="6">
        <v>21.242244722999466</v>
      </c>
      <c r="F84" s="11">
        <v>494.9778622</v>
      </c>
      <c r="G84" s="6">
        <v>11.836</v>
      </c>
      <c r="H84" s="6">
        <v>-7.7899596217998042</v>
      </c>
      <c r="I84" s="4">
        <v>1</v>
      </c>
      <c r="J84" s="9">
        <v>44551.441666666666</v>
      </c>
      <c r="K84" s="4">
        <v>9073.0593683590014</v>
      </c>
      <c r="L84" s="4">
        <v>5853.0547506815983</v>
      </c>
      <c r="M84" s="4" t="s">
        <v>9</v>
      </c>
      <c r="N84" s="6">
        <v>3.45</v>
      </c>
      <c r="O84" s="5">
        <v>0</v>
      </c>
      <c r="P84" s="6">
        <v>-3223.47</v>
      </c>
      <c r="Q84" s="5">
        <v>0</v>
      </c>
    </row>
    <row r="85" spans="1:17" x14ac:dyDescent="0.35">
      <c r="A85" s="9">
        <v>44415</v>
      </c>
      <c r="B85" s="4" t="s">
        <v>66</v>
      </c>
      <c r="C85" s="6">
        <v>18.32</v>
      </c>
      <c r="D85" s="10">
        <v>0.27757630000002109</v>
      </c>
      <c r="E85" s="6">
        <v>5.0851978160003863</v>
      </c>
      <c r="F85" s="11">
        <v>494.9778622</v>
      </c>
      <c r="G85" s="6">
        <v>11.836</v>
      </c>
      <c r="H85" s="6">
        <v>-1.7998047292001367</v>
      </c>
      <c r="I85" s="4">
        <v>1</v>
      </c>
      <c r="J85" s="9">
        <v>44551.441666666666</v>
      </c>
      <c r="K85" s="4">
        <v>9073.0593683590014</v>
      </c>
      <c r="L85" s="4">
        <v>5853.0547506815983</v>
      </c>
      <c r="M85" s="4" t="s">
        <v>9</v>
      </c>
      <c r="N85" s="6">
        <v>3.45</v>
      </c>
      <c r="O85" s="5">
        <v>0</v>
      </c>
      <c r="P85" s="6">
        <v>-3223.47</v>
      </c>
      <c r="Q85" s="5">
        <v>0</v>
      </c>
    </row>
    <row r="86" spans="1:17" x14ac:dyDescent="0.35">
      <c r="A86" s="9">
        <v>44416</v>
      </c>
      <c r="B86" s="4" t="s">
        <v>66</v>
      </c>
      <c r="C86" s="6">
        <v>18.23</v>
      </c>
      <c r="D86" s="10">
        <v>2.0147000000179105E-3</v>
      </c>
      <c r="E86" s="6">
        <v>3.6727981000326509E-2</v>
      </c>
      <c r="F86" s="11">
        <v>494.9778622</v>
      </c>
      <c r="G86" s="6">
        <v>11.836</v>
      </c>
      <c r="H86" s="6">
        <v>-1.2881991800114519E-2</v>
      </c>
      <c r="I86" s="4">
        <v>1</v>
      </c>
      <c r="J86" s="9">
        <v>44551.441666666666</v>
      </c>
      <c r="K86" s="4">
        <v>9073.0593683590014</v>
      </c>
      <c r="L86" s="4">
        <v>5853.0547506815983</v>
      </c>
      <c r="M86" s="4" t="s">
        <v>9</v>
      </c>
      <c r="N86" s="6">
        <v>3.45</v>
      </c>
      <c r="O86" s="5">
        <v>0</v>
      </c>
      <c r="P86" s="6">
        <v>-3223.47</v>
      </c>
      <c r="Q86" s="5">
        <v>0</v>
      </c>
    </row>
    <row r="87" spans="1:17" x14ac:dyDescent="0.35">
      <c r="A87" s="9">
        <v>44417</v>
      </c>
      <c r="B87" s="4" t="s">
        <v>66</v>
      </c>
      <c r="C87" s="6">
        <v>19.170000000000002</v>
      </c>
      <c r="D87" s="10">
        <v>0.62161079999998492</v>
      </c>
      <c r="E87" s="6">
        <v>11.916279035999711</v>
      </c>
      <c r="F87" s="11">
        <v>494.9778622</v>
      </c>
      <c r="G87" s="6">
        <v>11.836</v>
      </c>
      <c r="H87" s="6">
        <v>-4.5588936071998898</v>
      </c>
      <c r="I87" s="4">
        <v>1</v>
      </c>
      <c r="J87" s="9">
        <v>44551.441666666666</v>
      </c>
      <c r="K87" s="4">
        <v>9073.0593683590014</v>
      </c>
      <c r="L87" s="4">
        <v>5853.0547506815983</v>
      </c>
      <c r="M87" s="4" t="s">
        <v>9</v>
      </c>
      <c r="N87" s="6">
        <v>3.45</v>
      </c>
      <c r="O87" s="5">
        <v>0</v>
      </c>
      <c r="P87" s="6">
        <v>-3223.47</v>
      </c>
      <c r="Q87" s="5">
        <v>0</v>
      </c>
    </row>
    <row r="88" spans="1:17" x14ac:dyDescent="0.35">
      <c r="A88" s="9">
        <v>44418</v>
      </c>
      <c r="B88" s="4" t="s">
        <v>66</v>
      </c>
      <c r="C88" s="6">
        <v>19.79</v>
      </c>
      <c r="D88" s="10">
        <v>1.1049585000000093</v>
      </c>
      <c r="E88" s="6">
        <v>21.867128715000185</v>
      </c>
      <c r="F88" s="11">
        <v>494.9778622</v>
      </c>
      <c r="G88" s="6">
        <v>11.836</v>
      </c>
      <c r="H88" s="6">
        <v>-8.7888399090000746</v>
      </c>
      <c r="I88" s="4">
        <v>1</v>
      </c>
      <c r="J88" s="9">
        <v>44551.441666666666</v>
      </c>
      <c r="K88" s="4">
        <v>9073.0593683590014</v>
      </c>
      <c r="L88" s="4">
        <v>5853.0547506815983</v>
      </c>
      <c r="M88" s="4" t="s">
        <v>9</v>
      </c>
      <c r="N88" s="6">
        <v>3.45</v>
      </c>
      <c r="O88" s="5">
        <v>0</v>
      </c>
      <c r="P88" s="6">
        <v>-3223.47</v>
      </c>
      <c r="Q88" s="5">
        <v>0</v>
      </c>
    </row>
    <row r="89" spans="1:17" x14ac:dyDescent="0.35">
      <c r="A89" s="9">
        <v>44419</v>
      </c>
      <c r="B89" s="4" t="s">
        <v>66</v>
      </c>
      <c r="C89" s="6">
        <v>20.98</v>
      </c>
      <c r="D89" s="10">
        <v>0.8916437999999971</v>
      </c>
      <c r="E89" s="6">
        <v>18.706686923999939</v>
      </c>
      <c r="F89" s="11">
        <v>494.9778622</v>
      </c>
      <c r="G89" s="6">
        <v>11.836</v>
      </c>
      <c r="H89" s="6">
        <v>-8.1531909071999724</v>
      </c>
      <c r="I89" s="4">
        <v>1</v>
      </c>
      <c r="J89" s="9">
        <v>44551.441666666666</v>
      </c>
      <c r="K89" s="4">
        <v>9073.0593683590014</v>
      </c>
      <c r="L89" s="4">
        <v>5853.0547506815983</v>
      </c>
      <c r="M89" s="4" t="s">
        <v>9</v>
      </c>
      <c r="N89" s="6">
        <v>3.45</v>
      </c>
      <c r="O89" s="5">
        <v>0</v>
      </c>
      <c r="P89" s="6">
        <v>-3223.47</v>
      </c>
      <c r="Q89" s="5">
        <v>0</v>
      </c>
    </row>
    <row r="90" spans="1:17" x14ac:dyDescent="0.35">
      <c r="A90" s="9">
        <v>44420</v>
      </c>
      <c r="B90" s="4" t="s">
        <v>66</v>
      </c>
      <c r="C90" s="6">
        <v>20.76</v>
      </c>
      <c r="D90" s="10">
        <v>0.29417630000000372</v>
      </c>
      <c r="E90" s="6">
        <v>6.1070999880000771</v>
      </c>
      <c r="F90" s="11">
        <v>494.9778622</v>
      </c>
      <c r="G90" s="6">
        <v>11.836</v>
      </c>
      <c r="H90" s="6">
        <v>-2.6252293012000329</v>
      </c>
      <c r="I90" s="4">
        <v>1</v>
      </c>
      <c r="J90" s="9">
        <v>44551.441666666666</v>
      </c>
      <c r="K90" s="4">
        <v>9073.0593683590014</v>
      </c>
      <c r="L90" s="4">
        <v>5853.0547506815983</v>
      </c>
      <c r="M90" s="4" t="s">
        <v>9</v>
      </c>
      <c r="N90" s="6">
        <v>3.45</v>
      </c>
      <c r="O90" s="5">
        <v>0</v>
      </c>
      <c r="P90" s="6">
        <v>-3223.47</v>
      </c>
      <c r="Q90" s="5">
        <v>0</v>
      </c>
    </row>
    <row r="91" spans="1:17" x14ac:dyDescent="0.35">
      <c r="A91" s="9">
        <v>44421</v>
      </c>
      <c r="B91" s="4" t="s">
        <v>66</v>
      </c>
      <c r="C91" s="6">
        <v>21.12</v>
      </c>
      <c r="D91" s="10">
        <v>0.8431034999999838</v>
      </c>
      <c r="E91" s="6">
        <v>17.806345919999657</v>
      </c>
      <c r="F91" s="11">
        <v>494.9778622</v>
      </c>
      <c r="G91" s="6">
        <v>11.836</v>
      </c>
      <c r="H91" s="6">
        <v>-7.8273728939998488</v>
      </c>
      <c r="I91" s="4">
        <v>1</v>
      </c>
      <c r="J91" s="9">
        <v>44551.441666666666</v>
      </c>
      <c r="K91" s="4">
        <v>9073.0593683590014</v>
      </c>
      <c r="L91" s="4">
        <v>5853.0547506815983</v>
      </c>
      <c r="M91" s="4" t="s">
        <v>9</v>
      </c>
      <c r="N91" s="6">
        <v>3.45</v>
      </c>
      <c r="O91" s="5">
        <v>0</v>
      </c>
      <c r="P91" s="6">
        <v>-3223.47</v>
      </c>
      <c r="Q91" s="5">
        <v>0</v>
      </c>
    </row>
    <row r="92" spans="1:17" x14ac:dyDescent="0.35">
      <c r="A92" s="9">
        <v>44422</v>
      </c>
      <c r="B92" s="4" t="s">
        <v>66</v>
      </c>
      <c r="C92" s="6">
        <v>21.69</v>
      </c>
      <c r="D92" s="10">
        <v>0.25737249999997402</v>
      </c>
      <c r="E92" s="6">
        <v>5.582409524999437</v>
      </c>
      <c r="F92" s="11">
        <v>494.9778622</v>
      </c>
      <c r="G92" s="6">
        <v>11.836</v>
      </c>
      <c r="H92" s="6">
        <v>-2.5361486149997443</v>
      </c>
      <c r="I92" s="4">
        <v>1</v>
      </c>
      <c r="J92" s="9">
        <v>44551.441666666666</v>
      </c>
      <c r="K92" s="4">
        <v>9073.0593683590014</v>
      </c>
      <c r="L92" s="4">
        <v>5853.0547506815983</v>
      </c>
      <c r="M92" s="4" t="s">
        <v>9</v>
      </c>
      <c r="N92" s="6">
        <v>3.45</v>
      </c>
      <c r="O92" s="5">
        <v>0</v>
      </c>
      <c r="P92" s="6">
        <v>-3223.47</v>
      </c>
      <c r="Q92" s="5">
        <v>0</v>
      </c>
    </row>
    <row r="93" spans="1:17" x14ac:dyDescent="0.35">
      <c r="A93" s="9">
        <v>44423</v>
      </c>
      <c r="B93" s="4" t="s">
        <v>66</v>
      </c>
      <c r="C93" s="6">
        <v>21.31</v>
      </c>
      <c r="D93" s="10">
        <v>0.15419860000002927</v>
      </c>
      <c r="E93" s="6">
        <v>3.285972166000624</v>
      </c>
      <c r="F93" s="11">
        <v>494.9778622</v>
      </c>
      <c r="G93" s="6">
        <v>11.836</v>
      </c>
      <c r="H93" s="6">
        <v>-1.4608775364002775</v>
      </c>
      <c r="I93" s="4">
        <v>1</v>
      </c>
      <c r="J93" s="9">
        <v>44551.441666666666</v>
      </c>
      <c r="K93" s="4">
        <v>9073.0593683590014</v>
      </c>
      <c r="L93" s="4">
        <v>5853.0547506815983</v>
      </c>
      <c r="M93" s="4" t="s">
        <v>9</v>
      </c>
      <c r="N93" s="6">
        <v>3.45</v>
      </c>
      <c r="O93" s="5">
        <v>0</v>
      </c>
      <c r="P93" s="6">
        <v>-3223.47</v>
      </c>
      <c r="Q93" s="5">
        <v>0</v>
      </c>
    </row>
    <row r="94" spans="1:17" x14ac:dyDescent="0.35">
      <c r="A94" s="9">
        <v>44424</v>
      </c>
      <c r="B94" s="4" t="s">
        <v>66</v>
      </c>
      <c r="C94" s="6">
        <v>21.08</v>
      </c>
      <c r="D94" s="10">
        <v>1.1375479000000155</v>
      </c>
      <c r="E94" s="6">
        <v>23.979509732000327</v>
      </c>
      <c r="F94" s="11">
        <v>494.9778622</v>
      </c>
      <c r="G94" s="6">
        <v>11.836</v>
      </c>
      <c r="H94" s="6">
        <v>-10.515492787600143</v>
      </c>
      <c r="I94" s="4">
        <v>1</v>
      </c>
      <c r="J94" s="9">
        <v>44551.441666666666</v>
      </c>
      <c r="K94" s="4">
        <v>9073.0593683590014</v>
      </c>
      <c r="L94" s="4">
        <v>5853.0547506815983</v>
      </c>
      <c r="M94" s="4" t="s">
        <v>9</v>
      </c>
      <c r="N94" s="6">
        <v>3.45</v>
      </c>
      <c r="O94" s="5">
        <v>0</v>
      </c>
      <c r="P94" s="6">
        <v>-3223.47</v>
      </c>
      <c r="Q94" s="5">
        <v>0</v>
      </c>
    </row>
    <row r="95" spans="1:17" x14ac:dyDescent="0.35">
      <c r="A95" s="9">
        <v>44425</v>
      </c>
      <c r="B95" s="4" t="s">
        <v>66</v>
      </c>
      <c r="C95" s="6">
        <v>21.19</v>
      </c>
      <c r="D95" s="10">
        <v>0.65372229999996989</v>
      </c>
      <c r="E95" s="6">
        <v>13.852375536999363</v>
      </c>
      <c r="F95" s="11">
        <v>494.9778622</v>
      </c>
      <c r="G95" s="6">
        <v>11.836</v>
      </c>
      <c r="H95" s="6">
        <v>-6.1149183941997185</v>
      </c>
      <c r="I95" s="4">
        <v>1</v>
      </c>
      <c r="J95" s="9">
        <v>44551.441666666666</v>
      </c>
      <c r="K95" s="4">
        <v>9073.0593683590014</v>
      </c>
      <c r="L95" s="4">
        <v>5853.0547506815983</v>
      </c>
      <c r="M95" s="4" t="s">
        <v>9</v>
      </c>
      <c r="N95" s="6">
        <v>3.45</v>
      </c>
      <c r="O95" s="5">
        <v>0</v>
      </c>
      <c r="P95" s="6">
        <v>-3223.47</v>
      </c>
      <c r="Q95" s="5">
        <v>0</v>
      </c>
    </row>
    <row r="96" spans="1:17" x14ac:dyDescent="0.35">
      <c r="A96" s="9">
        <v>44426</v>
      </c>
      <c r="B96" s="4" t="s">
        <v>66</v>
      </c>
      <c r="C96" s="6">
        <v>22.98</v>
      </c>
      <c r="D96" s="10">
        <v>0.15715610000000879</v>
      </c>
      <c r="E96" s="6">
        <v>3.6114471780002022</v>
      </c>
      <c r="F96" s="11">
        <v>494.9778622</v>
      </c>
      <c r="G96" s="6">
        <v>11.836</v>
      </c>
      <c r="H96" s="6">
        <v>-1.751347578400098</v>
      </c>
      <c r="I96" s="4">
        <v>1</v>
      </c>
      <c r="J96" s="9">
        <v>44551.441666666666</v>
      </c>
      <c r="K96" s="4">
        <v>9073.0593683590014</v>
      </c>
      <c r="L96" s="4">
        <v>5853.0547506815983</v>
      </c>
      <c r="M96" s="4" t="s">
        <v>9</v>
      </c>
      <c r="N96" s="6">
        <v>3.45</v>
      </c>
      <c r="O96" s="5">
        <v>0</v>
      </c>
      <c r="P96" s="6">
        <v>-3223.47</v>
      </c>
      <c r="Q96" s="5">
        <v>0</v>
      </c>
    </row>
    <row r="97" spans="1:17" x14ac:dyDescent="0.35">
      <c r="A97" s="9">
        <v>44427</v>
      </c>
      <c r="B97" s="4" t="s">
        <v>66</v>
      </c>
      <c r="C97" s="6">
        <v>23.63</v>
      </c>
      <c r="D97" s="10">
        <v>0.93751969999999574</v>
      </c>
      <c r="E97" s="6">
        <v>22.153590510999898</v>
      </c>
      <c r="F97" s="11">
        <v>494.9778622</v>
      </c>
      <c r="G97" s="6">
        <v>11.836</v>
      </c>
      <c r="H97" s="6">
        <v>-11.057107341799949</v>
      </c>
      <c r="I97" s="4">
        <v>1</v>
      </c>
      <c r="J97" s="9">
        <v>44551.441666666666</v>
      </c>
      <c r="K97" s="4">
        <v>9073.0593683590014</v>
      </c>
      <c r="L97" s="4">
        <v>5853.0547506815983</v>
      </c>
      <c r="M97" s="4" t="s">
        <v>9</v>
      </c>
      <c r="N97" s="6">
        <v>3.45</v>
      </c>
      <c r="O97" s="5">
        <v>0</v>
      </c>
      <c r="P97" s="6">
        <v>-3223.47</v>
      </c>
      <c r="Q97" s="5">
        <v>0</v>
      </c>
    </row>
    <row r="98" spans="1:17" x14ac:dyDescent="0.35">
      <c r="A98" s="9">
        <v>44428</v>
      </c>
      <c r="B98" s="4" t="s">
        <v>66</v>
      </c>
      <c r="C98" s="6">
        <v>24.77</v>
      </c>
      <c r="D98" s="10">
        <v>5.5400000002236993E-4</v>
      </c>
      <c r="E98" s="6">
        <v>1.3722580000554103E-2</v>
      </c>
      <c r="F98" s="11">
        <v>494.9778622</v>
      </c>
      <c r="G98" s="6">
        <v>11.836</v>
      </c>
      <c r="H98" s="6">
        <v>-7.1654360002893326E-3</v>
      </c>
      <c r="I98" s="4">
        <v>1</v>
      </c>
      <c r="J98" s="9">
        <v>44551.441666666666</v>
      </c>
      <c r="K98" s="4">
        <v>9073.0593683590014</v>
      </c>
      <c r="L98" s="4">
        <v>5853.0547506815983</v>
      </c>
      <c r="M98" s="4" t="s">
        <v>9</v>
      </c>
      <c r="N98" s="6">
        <v>3.45</v>
      </c>
      <c r="O98" s="5">
        <v>0</v>
      </c>
      <c r="P98" s="6">
        <v>-3223.47</v>
      </c>
      <c r="Q98" s="5">
        <v>0</v>
      </c>
    </row>
    <row r="99" spans="1:17" x14ac:dyDescent="0.35">
      <c r="A99" s="9">
        <v>44429</v>
      </c>
      <c r="B99" s="4" t="s">
        <v>66</v>
      </c>
      <c r="C99" s="6">
        <v>23.01</v>
      </c>
      <c r="D99" s="10">
        <v>0.27292749999998023</v>
      </c>
      <c r="E99" s="6">
        <v>6.2800617749995453</v>
      </c>
      <c r="F99" s="11">
        <v>494.9778622</v>
      </c>
      <c r="G99" s="6">
        <v>11.836</v>
      </c>
      <c r="H99" s="6">
        <v>-3.0496918849997794</v>
      </c>
      <c r="I99" s="4">
        <v>1</v>
      </c>
      <c r="J99" s="9">
        <v>44551.441666666666</v>
      </c>
      <c r="K99" s="4">
        <v>9073.0593683590014</v>
      </c>
      <c r="L99" s="4">
        <v>5853.0547506815983</v>
      </c>
      <c r="M99" s="4" t="s">
        <v>9</v>
      </c>
      <c r="N99" s="6">
        <v>3.45</v>
      </c>
      <c r="O99" s="5">
        <v>0</v>
      </c>
      <c r="P99" s="6">
        <v>-3223.47</v>
      </c>
      <c r="Q99" s="5">
        <v>0</v>
      </c>
    </row>
    <row r="100" spans="1:17" x14ac:dyDescent="0.35">
      <c r="A100" s="9">
        <v>44430</v>
      </c>
      <c r="B100" s="4" t="s">
        <v>66</v>
      </c>
      <c r="C100" s="6">
        <v>23.07</v>
      </c>
      <c r="D100" s="10">
        <v>8.9766999999994823E-2</v>
      </c>
      <c r="E100" s="6">
        <v>2.0709246899998806</v>
      </c>
      <c r="F100" s="11">
        <v>494.9778622</v>
      </c>
      <c r="G100" s="6">
        <v>11.836</v>
      </c>
      <c r="H100" s="6">
        <v>-1.0084424779999417</v>
      </c>
      <c r="I100" s="4">
        <v>1</v>
      </c>
      <c r="J100" s="9">
        <v>44551.441666666666</v>
      </c>
      <c r="K100" s="4">
        <v>9073.0593683590014</v>
      </c>
      <c r="L100" s="4">
        <v>5853.0547506815983</v>
      </c>
      <c r="M100" s="4" t="s">
        <v>9</v>
      </c>
      <c r="N100" s="6">
        <v>3.45</v>
      </c>
      <c r="O100" s="5">
        <v>0</v>
      </c>
      <c r="P100" s="6">
        <v>-3223.47</v>
      </c>
      <c r="Q100" s="5">
        <v>0</v>
      </c>
    </row>
    <row r="101" spans="1:17" x14ac:dyDescent="0.35">
      <c r="A101" s="9">
        <v>44431.547569444447</v>
      </c>
      <c r="B101" s="4" t="s">
        <v>66</v>
      </c>
      <c r="C101" s="6">
        <v>25.36</v>
      </c>
      <c r="D101" s="10">
        <v>0.2540000000000191</v>
      </c>
      <c r="E101" s="6">
        <v>6.4416940000004841</v>
      </c>
      <c r="F101" s="11">
        <v>494.9778622</v>
      </c>
      <c r="G101" s="6">
        <v>11.836</v>
      </c>
      <c r="H101" s="6">
        <v>-3.4353500000002581</v>
      </c>
      <c r="I101" s="4">
        <v>1</v>
      </c>
      <c r="J101" s="9">
        <v>44551.441666666666</v>
      </c>
      <c r="K101" s="4">
        <v>9073.0593683590014</v>
      </c>
      <c r="L101" s="4">
        <v>5853.0547506815983</v>
      </c>
      <c r="M101" s="4" t="s">
        <v>9</v>
      </c>
      <c r="N101" s="6">
        <v>3.45</v>
      </c>
      <c r="O101" s="5">
        <v>0</v>
      </c>
      <c r="P101" s="6">
        <v>-3223.47</v>
      </c>
      <c r="Q101" s="5">
        <v>0</v>
      </c>
    </row>
    <row r="102" spans="1:17" x14ac:dyDescent="0.35">
      <c r="A102" s="9">
        <v>44432.520092592589</v>
      </c>
      <c r="B102" s="4" t="s">
        <v>66</v>
      </c>
      <c r="C102" s="6">
        <v>23.37</v>
      </c>
      <c r="D102" s="10">
        <v>0.70900000000000318</v>
      </c>
      <c r="E102" s="6">
        <v>16.571457000000073</v>
      </c>
      <c r="F102" s="11">
        <v>494.9778622</v>
      </c>
      <c r="G102" s="6">
        <v>11.836</v>
      </c>
      <c r="H102" s="6">
        <v>-8.1797330000000361</v>
      </c>
      <c r="I102" s="4">
        <v>1</v>
      </c>
      <c r="J102" s="9">
        <v>44551.441666666666</v>
      </c>
      <c r="K102" s="4">
        <v>9073.0593683590014</v>
      </c>
      <c r="L102" s="4">
        <v>5853.0547506815983</v>
      </c>
      <c r="M102" s="4" t="s">
        <v>9</v>
      </c>
      <c r="N102" s="6">
        <v>3.45</v>
      </c>
      <c r="O102" s="5">
        <v>0</v>
      </c>
      <c r="P102" s="6">
        <v>-3223.47</v>
      </c>
      <c r="Q102" s="5">
        <v>0</v>
      </c>
    </row>
    <row r="103" spans="1:17" x14ac:dyDescent="0.35">
      <c r="A103" s="9">
        <v>44433.599606481483</v>
      </c>
      <c r="B103" s="4" t="s">
        <v>66</v>
      </c>
      <c r="C103" s="6">
        <v>25.97</v>
      </c>
      <c r="D103" s="10">
        <v>0.78699999999997772</v>
      </c>
      <c r="E103" s="6">
        <v>20.434454999999421</v>
      </c>
      <c r="F103" s="11">
        <v>494.9778622</v>
      </c>
      <c r="G103" s="6">
        <v>11.836</v>
      </c>
      <c r="H103" s="6">
        <v>-11.119522999999685</v>
      </c>
      <c r="I103" s="4">
        <v>1</v>
      </c>
      <c r="J103" s="9">
        <v>44551.441666666666</v>
      </c>
      <c r="K103" s="4">
        <v>9073.0593683590014</v>
      </c>
      <c r="L103" s="4">
        <v>5853.0547506815983</v>
      </c>
      <c r="M103" s="4" t="s">
        <v>9</v>
      </c>
      <c r="N103" s="6">
        <v>3.45</v>
      </c>
      <c r="O103" s="5">
        <v>0</v>
      </c>
      <c r="P103" s="6">
        <v>-3223.47</v>
      </c>
      <c r="Q103" s="5">
        <v>0</v>
      </c>
    </row>
    <row r="104" spans="1:17" x14ac:dyDescent="0.35">
      <c r="A104" s="9">
        <v>44434.413495370369</v>
      </c>
      <c r="B104" s="4" t="s">
        <v>66</v>
      </c>
      <c r="C104" s="6">
        <v>25.5</v>
      </c>
      <c r="D104" s="10">
        <v>0.60617000000002008</v>
      </c>
      <c r="E104" s="6">
        <v>15.456122660000512</v>
      </c>
      <c r="F104" s="11">
        <v>494.9778622</v>
      </c>
      <c r="G104" s="6">
        <v>11.836</v>
      </c>
      <c r="H104" s="6">
        <v>-8.2814945400002742</v>
      </c>
      <c r="I104" s="4">
        <v>1</v>
      </c>
      <c r="J104" s="9">
        <v>44551.441666666666</v>
      </c>
      <c r="K104" s="4">
        <v>9073.0593683590014</v>
      </c>
      <c r="L104" s="4">
        <v>5853.0547506815983</v>
      </c>
      <c r="M104" s="4" t="s">
        <v>9</v>
      </c>
      <c r="N104" s="6">
        <v>3.45</v>
      </c>
      <c r="O104" s="5">
        <v>0</v>
      </c>
      <c r="P104" s="6">
        <v>-3223.47</v>
      </c>
      <c r="Q104" s="5">
        <v>0</v>
      </c>
    </row>
    <row r="105" spans="1:17" x14ac:dyDescent="0.35">
      <c r="A105" s="9">
        <v>44435.600347222222</v>
      </c>
      <c r="B105" s="4" t="s">
        <v>66</v>
      </c>
      <c r="C105" s="6">
        <v>25.86</v>
      </c>
      <c r="D105" s="10">
        <v>0.8468300000000113</v>
      </c>
      <c r="E105" s="6">
        <v>21.901564290000291</v>
      </c>
      <c r="F105" s="11">
        <v>494.9778622</v>
      </c>
      <c r="G105" s="6">
        <v>11.836</v>
      </c>
      <c r="H105" s="6">
        <v>-11.878484410000157</v>
      </c>
      <c r="I105" s="4">
        <v>1</v>
      </c>
      <c r="J105" s="9">
        <v>44551.441666666666</v>
      </c>
      <c r="K105" s="4">
        <v>9073.0593683590014</v>
      </c>
      <c r="L105" s="4">
        <v>5853.0547506815983</v>
      </c>
      <c r="M105" s="4" t="s">
        <v>9</v>
      </c>
      <c r="N105" s="6">
        <v>3.45</v>
      </c>
      <c r="O105" s="5">
        <v>0</v>
      </c>
      <c r="P105" s="6">
        <v>-3223.47</v>
      </c>
      <c r="Q105" s="5">
        <v>0</v>
      </c>
    </row>
    <row r="106" spans="1:17" x14ac:dyDescent="0.35">
      <c r="A106" s="9">
        <v>44436.450104166666</v>
      </c>
      <c r="B106" s="4" t="s">
        <v>66</v>
      </c>
      <c r="C106" s="6">
        <v>25.39</v>
      </c>
      <c r="D106" s="10">
        <v>0.60899999999998045</v>
      </c>
      <c r="E106" s="6">
        <v>15.459464999999504</v>
      </c>
      <c r="F106" s="11">
        <v>494.9778622</v>
      </c>
      <c r="G106" s="6">
        <v>11.836</v>
      </c>
      <c r="H106" s="6">
        <v>-8.2513409999997354</v>
      </c>
      <c r="I106" s="4">
        <v>1</v>
      </c>
      <c r="J106" s="9">
        <v>44551.441666666666</v>
      </c>
      <c r="K106" s="4">
        <v>9073.0593683590014</v>
      </c>
      <c r="L106" s="4">
        <v>5853.0547506815983</v>
      </c>
      <c r="M106" s="4" t="s">
        <v>9</v>
      </c>
      <c r="N106" s="6">
        <v>3.45</v>
      </c>
      <c r="O106" s="5">
        <v>0</v>
      </c>
      <c r="P106" s="6">
        <v>-3223.47</v>
      </c>
      <c r="Q106" s="5">
        <v>0</v>
      </c>
    </row>
    <row r="107" spans="1:17" x14ac:dyDescent="0.35">
      <c r="A107" s="9">
        <v>44437.40824074074</v>
      </c>
      <c r="B107" s="4" t="s">
        <v>66</v>
      </c>
      <c r="C107" s="6">
        <v>25.26</v>
      </c>
      <c r="D107" s="10">
        <v>0.70199999999999818</v>
      </c>
      <c r="E107" s="6">
        <v>17.734625999999952</v>
      </c>
      <c r="F107" s="11">
        <v>494.9778622</v>
      </c>
      <c r="G107" s="6">
        <v>11.836</v>
      </c>
      <c r="H107" s="6">
        <v>-9.4257539999999747</v>
      </c>
      <c r="I107" s="4">
        <v>1</v>
      </c>
      <c r="J107" s="9">
        <v>44551.441666666666</v>
      </c>
      <c r="K107" s="4">
        <v>9073.0593683590014</v>
      </c>
      <c r="L107" s="4">
        <v>5853.0547506815983</v>
      </c>
      <c r="M107" s="4" t="s">
        <v>9</v>
      </c>
      <c r="N107" s="6">
        <v>3.45</v>
      </c>
      <c r="O107" s="5">
        <v>0</v>
      </c>
      <c r="P107" s="6">
        <v>-3223.47</v>
      </c>
      <c r="Q107" s="5">
        <v>0</v>
      </c>
    </row>
    <row r="108" spans="1:17" x14ac:dyDescent="0.35">
      <c r="A108" s="9">
        <v>44438.427523148152</v>
      </c>
      <c r="B108" s="4" t="s">
        <v>66</v>
      </c>
      <c r="C108" s="6">
        <v>23.68</v>
      </c>
      <c r="D108" s="10">
        <v>0.73511999999999489</v>
      </c>
      <c r="E108" s="6">
        <v>17.407641599999877</v>
      </c>
      <c r="F108" s="11">
        <v>494.9778622</v>
      </c>
      <c r="G108" s="6">
        <v>11.836</v>
      </c>
      <c r="H108" s="6">
        <v>-8.7067612799999381</v>
      </c>
      <c r="I108" s="4">
        <v>1</v>
      </c>
      <c r="J108" s="9">
        <v>44551.441666666666</v>
      </c>
      <c r="K108" s="4">
        <v>9073.0593683590014</v>
      </c>
      <c r="L108" s="4">
        <v>5853.0547506815983</v>
      </c>
      <c r="M108" s="4" t="s">
        <v>9</v>
      </c>
      <c r="N108" s="6">
        <v>3.45</v>
      </c>
      <c r="O108" s="5">
        <v>0</v>
      </c>
      <c r="P108" s="6">
        <v>-3223.47</v>
      </c>
      <c r="Q108" s="5">
        <v>0</v>
      </c>
    </row>
    <row r="109" spans="1:17" x14ac:dyDescent="0.35">
      <c r="A109" s="9">
        <v>44439.451365740744</v>
      </c>
      <c r="B109" s="4" t="s">
        <v>66</v>
      </c>
      <c r="C109" s="6">
        <v>23.54</v>
      </c>
      <c r="D109" s="10">
        <v>0.7388599999999883</v>
      </c>
      <c r="E109" s="6">
        <v>17.389808959999726</v>
      </c>
      <c r="F109" s="11">
        <v>494.9778622</v>
      </c>
      <c r="G109" s="6">
        <v>11.836</v>
      </c>
      <c r="H109" s="6">
        <v>-8.6446619999998653</v>
      </c>
      <c r="I109" s="4">
        <v>1</v>
      </c>
      <c r="J109" s="9">
        <v>44551.441666666666</v>
      </c>
      <c r="K109" s="4">
        <v>9073.0593683590014</v>
      </c>
      <c r="L109" s="4">
        <v>5853.0547506815983</v>
      </c>
      <c r="M109" s="4" t="s">
        <v>9</v>
      </c>
      <c r="N109" s="6">
        <v>3.45</v>
      </c>
      <c r="O109" s="5">
        <v>0</v>
      </c>
      <c r="P109" s="6">
        <v>-3223.47</v>
      </c>
      <c r="Q109" s="5">
        <v>0</v>
      </c>
    </row>
    <row r="110" spans="1:17" x14ac:dyDescent="0.35">
      <c r="A110" s="9">
        <v>44441.485023148147</v>
      </c>
      <c r="B110" s="4" t="s">
        <v>66</v>
      </c>
      <c r="C110" s="6">
        <v>23.64</v>
      </c>
      <c r="D110" s="10">
        <v>1.4703200000000152</v>
      </c>
      <c r="E110" s="6">
        <v>34.756894480000362</v>
      </c>
      <c r="F110" s="11">
        <v>494.9778622</v>
      </c>
      <c r="G110" s="6">
        <v>11.836</v>
      </c>
      <c r="H110" s="6">
        <v>-17.354186960000181</v>
      </c>
      <c r="I110" s="4">
        <v>1</v>
      </c>
      <c r="J110" s="9">
        <v>44551.441666666666</v>
      </c>
      <c r="K110" s="4">
        <v>9073.0593683590014</v>
      </c>
      <c r="L110" s="4">
        <v>5853.0547506815983</v>
      </c>
      <c r="M110" s="4" t="s">
        <v>9</v>
      </c>
      <c r="N110" s="6">
        <v>3.45</v>
      </c>
      <c r="O110" s="5">
        <v>0</v>
      </c>
      <c r="P110" s="6">
        <v>-3223.47</v>
      </c>
      <c r="Q110" s="5">
        <v>0</v>
      </c>
    </row>
    <row r="111" spans="1:17" x14ac:dyDescent="0.35">
      <c r="A111" s="9">
        <v>44442.401990740742</v>
      </c>
      <c r="B111" s="4" t="s">
        <v>66</v>
      </c>
      <c r="C111" s="6">
        <v>23.72</v>
      </c>
      <c r="D111" s="10">
        <v>0.65969999999998663</v>
      </c>
      <c r="E111" s="6">
        <v>15.644785499999683</v>
      </c>
      <c r="F111" s="11">
        <v>494.9778622</v>
      </c>
      <c r="G111" s="6">
        <v>11.836</v>
      </c>
      <c r="H111" s="6">
        <v>-7.836576299999841</v>
      </c>
      <c r="I111" s="4">
        <v>1</v>
      </c>
      <c r="J111" s="9">
        <v>44551.441666666666</v>
      </c>
      <c r="K111" s="4">
        <v>9073.0593683590014</v>
      </c>
      <c r="L111" s="4">
        <v>5853.0547506815983</v>
      </c>
      <c r="M111" s="4" t="s">
        <v>9</v>
      </c>
      <c r="N111" s="6">
        <v>3.45</v>
      </c>
      <c r="O111" s="5">
        <v>0</v>
      </c>
      <c r="P111" s="6">
        <v>-3223.47</v>
      </c>
      <c r="Q111" s="5">
        <v>0</v>
      </c>
    </row>
    <row r="112" spans="1:17" x14ac:dyDescent="0.35">
      <c r="A112" s="9">
        <v>44443.779988425929</v>
      </c>
      <c r="B112" s="4" t="s">
        <v>66</v>
      </c>
      <c r="C112" s="6">
        <v>24.2</v>
      </c>
      <c r="D112" s="10">
        <v>0.99799999999999045</v>
      </c>
      <c r="E112" s="6">
        <v>24.153595999999769</v>
      </c>
      <c r="F112" s="11">
        <v>494.9778622</v>
      </c>
      <c r="G112" s="6">
        <v>11.836</v>
      </c>
      <c r="H112" s="6">
        <v>-12.341267999999882</v>
      </c>
      <c r="I112" s="4">
        <v>1</v>
      </c>
      <c r="J112" s="9">
        <v>44551.441666666666</v>
      </c>
      <c r="K112" s="4">
        <v>9073.0593683590014</v>
      </c>
      <c r="L112" s="4">
        <v>5853.0547506815983</v>
      </c>
      <c r="M112" s="4" t="s">
        <v>9</v>
      </c>
      <c r="N112" s="6">
        <v>3.45</v>
      </c>
      <c r="O112" s="5">
        <v>0</v>
      </c>
      <c r="P112" s="6">
        <v>-3223.47</v>
      </c>
      <c r="Q112" s="5">
        <v>0</v>
      </c>
    </row>
    <row r="113" spans="1:17" x14ac:dyDescent="0.35">
      <c r="A113" s="9">
        <v>44444.791284722225</v>
      </c>
      <c r="B113" s="4" t="s">
        <v>66</v>
      </c>
      <c r="C113" s="6">
        <v>24.98</v>
      </c>
      <c r="D113" s="10">
        <v>0.73400000000003729</v>
      </c>
      <c r="E113" s="6">
        <v>18.338256000000932</v>
      </c>
      <c r="F113" s="11">
        <v>494.9778622</v>
      </c>
      <c r="G113" s="6">
        <v>11.836</v>
      </c>
      <c r="H113" s="6">
        <v>-9.6506320000004902</v>
      </c>
      <c r="I113" s="4">
        <v>1</v>
      </c>
      <c r="J113" s="9">
        <v>44551.441666666666</v>
      </c>
      <c r="K113" s="4">
        <v>9073.0593683590014</v>
      </c>
      <c r="L113" s="4">
        <v>5853.0547506815983</v>
      </c>
      <c r="M113" s="4" t="s">
        <v>9</v>
      </c>
      <c r="N113" s="6">
        <v>3.45</v>
      </c>
      <c r="O113" s="5">
        <v>0</v>
      </c>
      <c r="P113" s="6">
        <v>-3223.47</v>
      </c>
      <c r="Q113" s="5">
        <v>0</v>
      </c>
    </row>
    <row r="114" spans="1:17" x14ac:dyDescent="0.35">
      <c r="A114" s="9">
        <v>44446.511736111112</v>
      </c>
      <c r="B114" s="4" t="s">
        <v>66</v>
      </c>
      <c r="C114" s="6">
        <v>21.34</v>
      </c>
      <c r="D114" s="10">
        <v>1.2353899999999953</v>
      </c>
      <c r="E114" s="6">
        <v>26.360751819999901</v>
      </c>
      <c r="F114" s="11">
        <v>494.9778622</v>
      </c>
      <c r="G114" s="6">
        <v>11.836</v>
      </c>
      <c r="H114" s="6">
        <v>-11.738675779999957</v>
      </c>
      <c r="I114" s="4">
        <v>1</v>
      </c>
      <c r="J114" s="9">
        <v>44551.441666666666</v>
      </c>
      <c r="K114" s="4">
        <v>9073.0593683590014</v>
      </c>
      <c r="L114" s="4">
        <v>5853.0547506815983</v>
      </c>
      <c r="M114" s="4" t="s">
        <v>9</v>
      </c>
      <c r="N114" s="6">
        <v>3.45</v>
      </c>
      <c r="O114" s="5">
        <v>0</v>
      </c>
      <c r="P114" s="6">
        <v>-3223.47</v>
      </c>
      <c r="Q114" s="5">
        <v>0</v>
      </c>
    </row>
    <row r="115" spans="1:17" x14ac:dyDescent="0.35">
      <c r="A115" s="9">
        <v>44447.525069444448</v>
      </c>
      <c r="B115" s="4" t="s">
        <v>66</v>
      </c>
      <c r="C115" s="6">
        <v>20.010000000000002</v>
      </c>
      <c r="D115" s="10">
        <v>0.72861000000000331</v>
      </c>
      <c r="E115" s="6">
        <v>14.581671930000066</v>
      </c>
      <c r="F115" s="11">
        <v>494.9778622</v>
      </c>
      <c r="G115" s="6">
        <v>11.836</v>
      </c>
      <c r="H115" s="6">
        <v>-5.9578439700000274</v>
      </c>
      <c r="I115" s="4">
        <v>1</v>
      </c>
      <c r="J115" s="9">
        <v>44551.441666666666</v>
      </c>
      <c r="K115" s="4">
        <v>9073.0593683590014</v>
      </c>
      <c r="L115" s="4">
        <v>5853.0547506815983</v>
      </c>
      <c r="M115" s="4" t="s">
        <v>9</v>
      </c>
      <c r="N115" s="6">
        <v>3.45</v>
      </c>
      <c r="O115" s="5">
        <v>0</v>
      </c>
      <c r="P115" s="6">
        <v>-3223.47</v>
      </c>
      <c r="Q115" s="5">
        <v>0</v>
      </c>
    </row>
    <row r="116" spans="1:17" x14ac:dyDescent="0.35">
      <c r="A116" s="9">
        <v>44448.488611111112</v>
      </c>
      <c r="B116" s="4" t="s">
        <v>66</v>
      </c>
      <c r="C116" s="6">
        <v>20.27</v>
      </c>
      <c r="D116" s="10">
        <v>0.69299999999998363</v>
      </c>
      <c r="E116" s="6">
        <v>14.048495999999668</v>
      </c>
      <c r="F116" s="11">
        <v>494.9778622</v>
      </c>
      <c r="G116" s="6">
        <v>11.836</v>
      </c>
      <c r="H116" s="6">
        <v>-5.8461479999998609</v>
      </c>
      <c r="I116" s="4">
        <v>1</v>
      </c>
      <c r="J116" s="9">
        <v>44551.441666666666</v>
      </c>
      <c r="K116" s="4">
        <v>9073.0593683590014</v>
      </c>
      <c r="L116" s="4">
        <v>5853.0547506815983</v>
      </c>
      <c r="M116" s="4" t="s">
        <v>9</v>
      </c>
      <c r="N116" s="6">
        <v>3.45</v>
      </c>
      <c r="O116" s="5">
        <v>0</v>
      </c>
      <c r="P116" s="6">
        <v>-3223.47</v>
      </c>
      <c r="Q116" s="5">
        <v>0</v>
      </c>
    </row>
    <row r="117" spans="1:17" x14ac:dyDescent="0.35">
      <c r="A117" s="9">
        <v>44449.515324074076</v>
      </c>
      <c r="B117" s="4" t="s">
        <v>66</v>
      </c>
      <c r="C117" s="6">
        <v>19.57</v>
      </c>
      <c r="D117" s="10">
        <v>0.73980000000000246</v>
      </c>
      <c r="E117" s="6">
        <v>14.477146200000048</v>
      </c>
      <c r="F117" s="11">
        <v>494.9778622</v>
      </c>
      <c r="G117" s="6">
        <v>11.836</v>
      </c>
      <c r="H117" s="6">
        <v>-5.7208734000000181</v>
      </c>
      <c r="I117" s="4">
        <v>1</v>
      </c>
      <c r="J117" s="9">
        <v>44551.441666666666</v>
      </c>
      <c r="K117" s="4">
        <v>9073.0593683590014</v>
      </c>
      <c r="L117" s="4">
        <v>5853.0547506815983</v>
      </c>
      <c r="M117" s="4" t="s">
        <v>9</v>
      </c>
      <c r="N117" s="6">
        <v>3.45</v>
      </c>
      <c r="O117" s="5">
        <v>0</v>
      </c>
      <c r="P117" s="6">
        <v>-3223.47</v>
      </c>
      <c r="Q117" s="5">
        <v>0</v>
      </c>
    </row>
    <row r="118" spans="1:17" x14ac:dyDescent="0.35">
      <c r="A118" s="9">
        <v>44450.408958333333</v>
      </c>
      <c r="B118" s="4" t="s">
        <v>66</v>
      </c>
      <c r="C118" s="6">
        <v>19.87</v>
      </c>
      <c r="D118" s="10">
        <v>0.640199999999993</v>
      </c>
      <c r="E118" s="6">
        <v>12.723334799999861</v>
      </c>
      <c r="F118" s="11">
        <v>494.9778622</v>
      </c>
      <c r="G118" s="6">
        <v>11.836</v>
      </c>
      <c r="H118" s="6">
        <v>-5.1459275999999443</v>
      </c>
      <c r="I118" s="4">
        <v>1</v>
      </c>
      <c r="J118" s="9">
        <v>44551.441666666666</v>
      </c>
      <c r="K118" s="4">
        <v>9073.0593683590014</v>
      </c>
      <c r="L118" s="4">
        <v>5853.0547506815983</v>
      </c>
      <c r="M118" s="4" t="s">
        <v>9</v>
      </c>
      <c r="N118" s="6">
        <v>3.45</v>
      </c>
      <c r="O118" s="5">
        <v>0</v>
      </c>
      <c r="P118" s="6">
        <v>-3223.47</v>
      </c>
      <c r="Q118" s="5">
        <v>0</v>
      </c>
    </row>
    <row r="119" spans="1:17" x14ac:dyDescent="0.35">
      <c r="A119" s="9">
        <v>44451.574178240742</v>
      </c>
      <c r="B119" s="4" t="s">
        <v>66</v>
      </c>
      <c r="C119" s="6">
        <v>20.46</v>
      </c>
      <c r="D119" s="10">
        <v>1.0330000000000155</v>
      </c>
      <c r="E119" s="6">
        <v>21.138279000000317</v>
      </c>
      <c r="F119" s="11">
        <v>494.9778622</v>
      </c>
      <c r="G119" s="6">
        <v>11.836</v>
      </c>
      <c r="H119" s="6">
        <v>-8.9116910000001344</v>
      </c>
      <c r="I119" s="4">
        <v>1</v>
      </c>
      <c r="J119" s="9">
        <v>44551.441666666666</v>
      </c>
      <c r="K119" s="4">
        <v>9073.0593683590014</v>
      </c>
      <c r="L119" s="4">
        <v>5853.0547506815983</v>
      </c>
      <c r="M119" s="4" t="s">
        <v>9</v>
      </c>
      <c r="N119" s="6">
        <v>3.45</v>
      </c>
      <c r="O119" s="5">
        <v>0</v>
      </c>
      <c r="P119" s="6">
        <v>-3223.47</v>
      </c>
      <c r="Q119" s="5">
        <v>0</v>
      </c>
    </row>
    <row r="120" spans="1:17" x14ac:dyDescent="0.35">
      <c r="A120" s="9">
        <v>44453.363518518519</v>
      </c>
      <c r="B120" s="4" t="s">
        <v>66</v>
      </c>
      <c r="C120" s="6">
        <v>19.75</v>
      </c>
      <c r="D120" s="10">
        <v>1.0960000000000036</v>
      </c>
      <c r="E120" s="6">
        <v>21.647096000000072</v>
      </c>
      <c r="F120" s="11">
        <v>494.9778622</v>
      </c>
      <c r="G120" s="6">
        <v>11.836</v>
      </c>
      <c r="H120" s="6">
        <v>-8.6748400000000281</v>
      </c>
      <c r="I120" s="4">
        <v>1</v>
      </c>
      <c r="J120" s="9">
        <v>44551.441666666666</v>
      </c>
      <c r="K120" s="4">
        <v>9073.0593683590014</v>
      </c>
      <c r="L120" s="4">
        <v>5853.0547506815983</v>
      </c>
      <c r="M120" s="4" t="s">
        <v>9</v>
      </c>
      <c r="N120" s="6">
        <v>3.45</v>
      </c>
      <c r="O120" s="5">
        <v>0</v>
      </c>
      <c r="P120" s="6">
        <v>-3223.47</v>
      </c>
      <c r="Q120" s="5">
        <v>0</v>
      </c>
    </row>
    <row r="121" spans="1:17" x14ac:dyDescent="0.35">
      <c r="A121" s="9">
        <v>44453.998796296299</v>
      </c>
      <c r="B121" s="4" t="s">
        <v>66</v>
      </c>
      <c r="C121" s="6">
        <v>21.03</v>
      </c>
      <c r="D121" s="10">
        <v>0.45400000000000773</v>
      </c>
      <c r="E121" s="6">
        <v>9.5453500000001625</v>
      </c>
      <c r="F121" s="11">
        <v>494.9778622</v>
      </c>
      <c r="G121" s="6">
        <v>11.836</v>
      </c>
      <c r="H121" s="6">
        <v>-4.1718060000000712</v>
      </c>
      <c r="I121" s="4">
        <v>1</v>
      </c>
      <c r="J121" s="9">
        <v>44551.441666666666</v>
      </c>
      <c r="K121" s="4">
        <v>9073.0593683590014</v>
      </c>
      <c r="L121" s="4">
        <v>5853.0547506815983</v>
      </c>
      <c r="M121" s="4" t="s">
        <v>9</v>
      </c>
      <c r="N121" s="6">
        <v>3.45</v>
      </c>
      <c r="O121" s="5">
        <v>0</v>
      </c>
      <c r="P121" s="6">
        <v>-3223.47</v>
      </c>
      <c r="Q121" s="5">
        <v>0</v>
      </c>
    </row>
    <row r="122" spans="1:17" x14ac:dyDescent="0.35">
      <c r="A122" s="9">
        <v>44455.40347222222</v>
      </c>
      <c r="B122" s="4" t="s">
        <v>66</v>
      </c>
      <c r="C122" s="6">
        <v>22.97</v>
      </c>
      <c r="D122" s="10">
        <v>1.0036999999999807</v>
      </c>
      <c r="E122" s="6">
        <v>23.058000099999557</v>
      </c>
      <c r="F122" s="11">
        <v>494.9778622</v>
      </c>
      <c r="G122" s="6">
        <v>11.836</v>
      </c>
      <c r="H122" s="6">
        <v>-11.178206899999784</v>
      </c>
      <c r="I122" s="4">
        <v>1</v>
      </c>
      <c r="J122" s="9">
        <v>44551.441666666666</v>
      </c>
      <c r="K122" s="4">
        <v>9073.0593683590014</v>
      </c>
      <c r="L122" s="4">
        <v>5853.0547506815983</v>
      </c>
      <c r="M122" s="4" t="s">
        <v>9</v>
      </c>
      <c r="N122" s="6">
        <v>3.45</v>
      </c>
      <c r="O122" s="5">
        <v>0</v>
      </c>
      <c r="P122" s="6">
        <v>-3223.47</v>
      </c>
      <c r="Q122" s="5">
        <v>0</v>
      </c>
    </row>
    <row r="123" spans="1:17" x14ac:dyDescent="0.35">
      <c r="A123" s="9">
        <v>44456.601655092592</v>
      </c>
      <c r="B123" s="4" t="s">
        <v>66</v>
      </c>
      <c r="C123" s="6">
        <v>21.42</v>
      </c>
      <c r="D123" s="10">
        <v>0.84629999999998518</v>
      </c>
      <c r="E123" s="6">
        <v>18.129438599999684</v>
      </c>
      <c r="F123" s="11">
        <v>494.9778622</v>
      </c>
      <c r="G123" s="6">
        <v>11.836</v>
      </c>
      <c r="H123" s="6">
        <v>-8.1126317999998587</v>
      </c>
      <c r="I123" s="4">
        <v>1</v>
      </c>
      <c r="J123" s="9">
        <v>44551.441666666666</v>
      </c>
      <c r="K123" s="4">
        <v>9073.0593683590014</v>
      </c>
      <c r="L123" s="4">
        <v>5853.0547506815983</v>
      </c>
      <c r="M123" s="4" t="s">
        <v>9</v>
      </c>
      <c r="N123" s="6">
        <v>3.45</v>
      </c>
      <c r="O123" s="5">
        <v>0</v>
      </c>
      <c r="P123" s="6">
        <v>-3223.47</v>
      </c>
      <c r="Q123" s="5">
        <v>0</v>
      </c>
    </row>
    <row r="124" spans="1:17" x14ac:dyDescent="0.35">
      <c r="A124" s="9">
        <v>44458.403101851851</v>
      </c>
      <c r="B124" s="4" t="s">
        <v>66</v>
      </c>
      <c r="C124" s="6">
        <v>22.12</v>
      </c>
      <c r="D124" s="10">
        <v>1.2970000000000255</v>
      </c>
      <c r="E124" s="6">
        <v>28.683155000000564</v>
      </c>
      <c r="F124" s="11">
        <v>494.9778622</v>
      </c>
      <c r="G124" s="6">
        <v>11.836</v>
      </c>
      <c r="H124" s="6">
        <v>-13.331863000000263</v>
      </c>
      <c r="I124" s="4">
        <v>1</v>
      </c>
      <c r="J124" s="9">
        <v>44551.441666666666</v>
      </c>
      <c r="K124" s="4">
        <v>9073.0593683590014</v>
      </c>
      <c r="L124" s="4">
        <v>5853.0547506815983</v>
      </c>
      <c r="M124" s="4" t="s">
        <v>9</v>
      </c>
      <c r="N124" s="6">
        <v>3.45</v>
      </c>
      <c r="O124" s="5">
        <v>0</v>
      </c>
      <c r="P124" s="6">
        <v>-3223.47</v>
      </c>
      <c r="Q124" s="5">
        <v>0</v>
      </c>
    </row>
    <row r="125" spans="1:17" x14ac:dyDescent="0.35">
      <c r="A125" s="9">
        <v>44459.64634259259</v>
      </c>
      <c r="B125" s="4" t="s">
        <v>66</v>
      </c>
      <c r="C125" s="6">
        <v>18.98</v>
      </c>
      <c r="D125" s="10">
        <v>0.8669999999999618</v>
      </c>
      <c r="E125" s="6">
        <v>16.451324999999276</v>
      </c>
      <c r="F125" s="11">
        <v>494.9778622</v>
      </c>
      <c r="G125" s="6">
        <v>11.836</v>
      </c>
      <c r="H125" s="6">
        <v>-6.189512999999728</v>
      </c>
      <c r="I125" s="4">
        <v>1</v>
      </c>
      <c r="J125" s="9">
        <v>44551.441666666666</v>
      </c>
      <c r="K125" s="4">
        <v>9073.0593683590014</v>
      </c>
      <c r="L125" s="4">
        <v>5853.0547506815983</v>
      </c>
      <c r="M125" s="4" t="s">
        <v>9</v>
      </c>
      <c r="N125" s="6">
        <v>3.45</v>
      </c>
      <c r="O125" s="5">
        <v>0</v>
      </c>
      <c r="P125" s="6">
        <v>-3223.47</v>
      </c>
      <c r="Q125" s="5">
        <v>0</v>
      </c>
    </row>
    <row r="126" spans="1:17" x14ac:dyDescent="0.35">
      <c r="A126" s="9">
        <v>44460.552604166667</v>
      </c>
      <c r="B126" s="4" t="s">
        <v>66</v>
      </c>
      <c r="C126" s="6">
        <v>19.05</v>
      </c>
      <c r="D126" s="10">
        <v>0.64900000000000091</v>
      </c>
      <c r="E126" s="6">
        <v>12.366046000000017</v>
      </c>
      <c r="F126" s="11">
        <v>494.9778622</v>
      </c>
      <c r="G126" s="6">
        <v>11.836</v>
      </c>
      <c r="H126" s="6">
        <v>-4.6844820000000054</v>
      </c>
      <c r="I126" s="4">
        <v>1</v>
      </c>
      <c r="J126" s="9">
        <v>44551.441666666666</v>
      </c>
      <c r="K126" s="4">
        <v>9073.0593683590014</v>
      </c>
      <c r="L126" s="4">
        <v>5853.0547506815983</v>
      </c>
      <c r="M126" s="4" t="s">
        <v>9</v>
      </c>
      <c r="N126" s="6">
        <v>3.45</v>
      </c>
      <c r="O126" s="5">
        <v>0</v>
      </c>
      <c r="P126" s="6">
        <v>-3223.47</v>
      </c>
      <c r="Q126" s="5">
        <v>0</v>
      </c>
    </row>
    <row r="127" spans="1:17" x14ac:dyDescent="0.35">
      <c r="A127" s="9">
        <v>44462.558842592596</v>
      </c>
      <c r="B127" s="4" t="s">
        <v>66</v>
      </c>
      <c r="C127" s="6">
        <v>20.13</v>
      </c>
      <c r="D127" s="10">
        <v>1.4020000000000437</v>
      </c>
      <c r="E127" s="6">
        <v>28.22226000000088</v>
      </c>
      <c r="F127" s="11">
        <v>494.9778622</v>
      </c>
      <c r="G127" s="6">
        <v>11.836</v>
      </c>
      <c r="H127" s="6">
        <v>-11.628188000000364</v>
      </c>
      <c r="I127" s="4">
        <v>1</v>
      </c>
      <c r="J127" s="9">
        <v>44551.441666666666</v>
      </c>
      <c r="K127" s="4">
        <v>9073.0593683590014</v>
      </c>
      <c r="L127" s="4">
        <v>5853.0547506815983</v>
      </c>
      <c r="M127" s="4" t="s">
        <v>9</v>
      </c>
      <c r="N127" s="6">
        <v>3.45</v>
      </c>
      <c r="O127" s="5">
        <v>0</v>
      </c>
      <c r="P127" s="6">
        <v>-3223.47</v>
      </c>
      <c r="Q127" s="5">
        <v>0</v>
      </c>
    </row>
    <row r="128" spans="1:17" x14ac:dyDescent="0.35">
      <c r="A128" s="9">
        <v>44464.780439814815</v>
      </c>
      <c r="B128" s="4" t="s">
        <v>66</v>
      </c>
      <c r="C128" s="6">
        <v>18.510000000000002</v>
      </c>
      <c r="D128" s="10">
        <v>1.5449999999999591</v>
      </c>
      <c r="E128" s="6">
        <v>28.601039999999241</v>
      </c>
      <c r="F128" s="11">
        <v>494.9778622</v>
      </c>
      <c r="G128" s="6">
        <v>11.836</v>
      </c>
      <c r="H128" s="6">
        <v>-10.314419999999725</v>
      </c>
      <c r="I128" s="4">
        <v>1</v>
      </c>
      <c r="J128" s="9">
        <v>44551.441666666666</v>
      </c>
      <c r="K128" s="4">
        <v>9073.0593683590014</v>
      </c>
      <c r="L128" s="4">
        <v>5853.0547506815983</v>
      </c>
      <c r="M128" s="4" t="s">
        <v>9</v>
      </c>
      <c r="N128" s="6">
        <v>3.45</v>
      </c>
      <c r="O128" s="5">
        <v>0</v>
      </c>
      <c r="P128" s="6">
        <v>-3223.47</v>
      </c>
      <c r="Q128" s="5">
        <v>0</v>
      </c>
    </row>
    <row r="129" spans="1:17" x14ac:dyDescent="0.35">
      <c r="A129" s="9">
        <v>44465.635462962964</v>
      </c>
      <c r="B129" s="4" t="s">
        <v>66</v>
      </c>
      <c r="C129" s="6">
        <v>19.03</v>
      </c>
      <c r="D129" s="10">
        <v>0.58000000000004093</v>
      </c>
      <c r="E129" s="6">
        <v>11.036820000000779</v>
      </c>
      <c r="F129" s="11">
        <v>494.9778622</v>
      </c>
      <c r="G129" s="6">
        <v>11.836</v>
      </c>
      <c r="H129" s="6">
        <v>-4.1719400000002942</v>
      </c>
      <c r="I129" s="4">
        <v>1</v>
      </c>
      <c r="J129" s="9">
        <v>44551.441666666666</v>
      </c>
      <c r="K129" s="4">
        <v>9073.0593683590014</v>
      </c>
      <c r="L129" s="4">
        <v>5853.0547506815983</v>
      </c>
      <c r="M129" s="4" t="s">
        <v>9</v>
      </c>
      <c r="N129" s="6">
        <v>3.45</v>
      </c>
      <c r="O129" s="5">
        <v>0</v>
      </c>
      <c r="P129" s="6">
        <v>-3223.47</v>
      </c>
      <c r="Q129" s="5">
        <v>0</v>
      </c>
    </row>
    <row r="130" spans="1:17" x14ac:dyDescent="0.35">
      <c r="A130" s="9">
        <v>44467.5312962963</v>
      </c>
      <c r="B130" s="4" t="s">
        <v>66</v>
      </c>
      <c r="C130" s="6">
        <v>18.39</v>
      </c>
      <c r="D130" s="10">
        <v>1.2899999999999636</v>
      </c>
      <c r="E130" s="6">
        <v>23.71664999999933</v>
      </c>
      <c r="F130" s="11">
        <v>494.9778622</v>
      </c>
      <c r="G130" s="6">
        <v>11.836</v>
      </c>
      <c r="H130" s="6">
        <v>-8.4482099999997597</v>
      </c>
      <c r="I130" s="4">
        <v>1</v>
      </c>
      <c r="J130" s="9">
        <v>44551.441666666666</v>
      </c>
      <c r="K130" s="4">
        <v>9073.0593683590014</v>
      </c>
      <c r="L130" s="4">
        <v>5853.0547506815983</v>
      </c>
      <c r="M130" s="4" t="s">
        <v>9</v>
      </c>
      <c r="N130" s="6">
        <v>3.45</v>
      </c>
      <c r="O130" s="5">
        <v>0</v>
      </c>
      <c r="P130" s="6">
        <v>-3223.47</v>
      </c>
      <c r="Q130" s="5">
        <v>0</v>
      </c>
    </row>
    <row r="131" spans="1:17" x14ac:dyDescent="0.35">
      <c r="A131" s="9">
        <v>44469.699236111112</v>
      </c>
      <c r="B131" s="4" t="s">
        <v>66</v>
      </c>
      <c r="C131" s="6">
        <v>18.61</v>
      </c>
      <c r="D131" s="10">
        <v>1.4600000000000364</v>
      </c>
      <c r="E131" s="6">
        <v>27.169140000000677</v>
      </c>
      <c r="F131" s="11">
        <v>494.9778622</v>
      </c>
      <c r="G131" s="6">
        <v>11.836</v>
      </c>
      <c r="H131" s="6">
        <v>-9.8885800000002462</v>
      </c>
      <c r="I131" s="4">
        <v>1</v>
      </c>
      <c r="J131" s="9">
        <v>44551.441666666666</v>
      </c>
      <c r="K131" s="4">
        <v>9073.0593683590014</v>
      </c>
      <c r="L131" s="4">
        <v>5853.0547506815983</v>
      </c>
      <c r="M131" s="4" t="s">
        <v>9</v>
      </c>
      <c r="N131" s="6">
        <v>3.45</v>
      </c>
      <c r="O131" s="5">
        <v>0</v>
      </c>
      <c r="P131" s="6">
        <v>-3223.47</v>
      </c>
      <c r="Q131" s="5">
        <v>0</v>
      </c>
    </row>
    <row r="132" spans="1:17" x14ac:dyDescent="0.35">
      <c r="A132" s="9">
        <v>44470.606724537036</v>
      </c>
      <c r="B132" s="4" t="s">
        <v>66</v>
      </c>
      <c r="C132" s="6">
        <v>19.84</v>
      </c>
      <c r="D132" s="10">
        <v>0.59999999999996589</v>
      </c>
      <c r="E132" s="6">
        <v>11.903399999999323</v>
      </c>
      <c r="F132" s="11">
        <v>494.9778622</v>
      </c>
      <c r="G132" s="6">
        <v>11.836</v>
      </c>
      <c r="H132" s="6">
        <v>-4.8017999999997265</v>
      </c>
      <c r="I132" s="4">
        <v>1</v>
      </c>
      <c r="J132" s="9">
        <v>44551.441666666666</v>
      </c>
      <c r="K132" s="4">
        <v>9073.0593683590014</v>
      </c>
      <c r="L132" s="4">
        <v>5853.0547506815983</v>
      </c>
      <c r="M132" s="4" t="s">
        <v>9</v>
      </c>
      <c r="N132" s="6">
        <v>3.45</v>
      </c>
      <c r="O132" s="5">
        <v>0</v>
      </c>
      <c r="P132" s="6">
        <v>-3223.47</v>
      </c>
      <c r="Q132" s="5">
        <v>0</v>
      </c>
    </row>
    <row r="133" spans="1:17" x14ac:dyDescent="0.35">
      <c r="A133" s="9">
        <v>44473.85732638889</v>
      </c>
      <c r="B133" s="4" t="s">
        <v>66</v>
      </c>
      <c r="C133" s="6">
        <v>19.309999999999999</v>
      </c>
      <c r="D133" s="10">
        <v>2.1400000000000432</v>
      </c>
      <c r="E133" s="6">
        <v>41.312700000000831</v>
      </c>
      <c r="F133" s="11">
        <v>494.9778622</v>
      </c>
      <c r="G133" s="6">
        <v>11.836</v>
      </c>
      <c r="H133" s="6">
        <v>-15.98366000000032</v>
      </c>
      <c r="I133" s="4">
        <v>1</v>
      </c>
      <c r="J133" s="9">
        <v>44551.441666666666</v>
      </c>
      <c r="K133" s="4">
        <v>9073.0593683590014</v>
      </c>
      <c r="L133" s="4">
        <v>5853.0547506815983</v>
      </c>
      <c r="M133" s="4" t="s">
        <v>9</v>
      </c>
      <c r="N133" s="6">
        <v>3.45</v>
      </c>
      <c r="O133" s="5">
        <v>0</v>
      </c>
      <c r="P133" s="6">
        <v>-3223.47</v>
      </c>
      <c r="Q133" s="5">
        <v>0</v>
      </c>
    </row>
    <row r="134" spans="1:17" x14ac:dyDescent="0.35">
      <c r="A134" s="9">
        <v>44478.706388888888</v>
      </c>
      <c r="B134" s="4" t="s">
        <v>66</v>
      </c>
      <c r="C134" s="6">
        <v>19.53</v>
      </c>
      <c r="D134" s="10">
        <v>3.17999999999995</v>
      </c>
      <c r="E134" s="6">
        <v>62.105399999999022</v>
      </c>
      <c r="F134" s="11">
        <v>494.9778622</v>
      </c>
      <c r="G134" s="6">
        <v>11.836</v>
      </c>
      <c r="H134" s="6">
        <v>-24.466919999999611</v>
      </c>
      <c r="I134" s="4">
        <v>1</v>
      </c>
      <c r="J134" s="9">
        <v>44551.441666666666</v>
      </c>
      <c r="K134" s="4">
        <v>9073.0593683590014</v>
      </c>
      <c r="L134" s="4">
        <v>5853.0547506815983</v>
      </c>
      <c r="M134" s="4" t="s">
        <v>9</v>
      </c>
      <c r="N134" s="6">
        <v>3.45</v>
      </c>
      <c r="O134" s="5">
        <v>0</v>
      </c>
      <c r="P134" s="6">
        <v>-3223.47</v>
      </c>
      <c r="Q134" s="5">
        <v>0</v>
      </c>
    </row>
    <row r="135" spans="1:17" x14ac:dyDescent="0.35">
      <c r="A135" s="9">
        <v>44482.401736111111</v>
      </c>
      <c r="B135" s="4" t="s">
        <v>66</v>
      </c>
      <c r="C135" s="6">
        <v>20.13</v>
      </c>
      <c r="D135" s="10">
        <v>2.6560000000000059</v>
      </c>
      <c r="E135" s="6">
        <v>53.470592000000117</v>
      </c>
      <c r="F135" s="11">
        <v>494.9778622</v>
      </c>
      <c r="G135" s="6">
        <v>11.836</v>
      </c>
      <c r="H135" s="6">
        <v>-22.034176000000045</v>
      </c>
      <c r="I135" s="4">
        <v>1</v>
      </c>
      <c r="J135" s="9">
        <v>44551.441666666666</v>
      </c>
      <c r="K135" s="4">
        <v>9073.0593683590014</v>
      </c>
      <c r="L135" s="4">
        <v>5853.0547506815983</v>
      </c>
      <c r="M135" s="4" t="s">
        <v>9</v>
      </c>
      <c r="N135" s="6">
        <v>3.45</v>
      </c>
      <c r="O135" s="5">
        <v>0</v>
      </c>
      <c r="P135" s="6">
        <v>-3223.47</v>
      </c>
      <c r="Q135" s="5">
        <v>0</v>
      </c>
    </row>
    <row r="136" spans="1:17" x14ac:dyDescent="0.35">
      <c r="A136" s="9">
        <v>44483.553784722222</v>
      </c>
      <c r="B136" s="4" t="s">
        <v>66</v>
      </c>
      <c r="C136" s="6">
        <v>20.03</v>
      </c>
      <c r="D136" s="10">
        <v>0.78399999999999181</v>
      </c>
      <c r="E136" s="6">
        <v>15.704303999999835</v>
      </c>
      <c r="F136" s="11">
        <v>494.9778622</v>
      </c>
      <c r="G136" s="6">
        <v>11.836</v>
      </c>
      <c r="H136" s="6">
        <v>-6.4248799999999324</v>
      </c>
      <c r="I136" s="4">
        <v>1</v>
      </c>
      <c r="J136" s="9">
        <v>44551.441666666666</v>
      </c>
      <c r="K136" s="4">
        <v>9073.0593683590014</v>
      </c>
      <c r="L136" s="4">
        <v>5853.0547506815983</v>
      </c>
      <c r="M136" s="4" t="s">
        <v>9</v>
      </c>
      <c r="N136" s="6">
        <v>3.45</v>
      </c>
      <c r="O136" s="5">
        <v>0</v>
      </c>
      <c r="P136" s="6">
        <v>-3223.47</v>
      </c>
      <c r="Q136" s="5">
        <v>0</v>
      </c>
    </row>
    <row r="137" spans="1:17" x14ac:dyDescent="0.35">
      <c r="A137" s="9">
        <v>44484.392638888887</v>
      </c>
      <c r="B137" s="4" t="s">
        <v>66</v>
      </c>
      <c r="C137" s="6">
        <v>19.52</v>
      </c>
      <c r="D137" s="10">
        <v>0.56000000000000227</v>
      </c>
      <c r="E137" s="6">
        <v>10.930080000000045</v>
      </c>
      <c r="F137" s="11">
        <v>494.9778622</v>
      </c>
      <c r="G137" s="6">
        <v>11.836</v>
      </c>
      <c r="H137" s="6">
        <v>-4.3019200000000177</v>
      </c>
      <c r="I137" s="4">
        <v>1</v>
      </c>
      <c r="J137" s="9">
        <v>44551.441666666666</v>
      </c>
      <c r="K137" s="4">
        <v>9073.0593683590014</v>
      </c>
      <c r="L137" s="4">
        <v>5853.0547506815983</v>
      </c>
      <c r="M137" s="4" t="s">
        <v>9</v>
      </c>
      <c r="N137" s="6">
        <v>3.45</v>
      </c>
      <c r="O137" s="5">
        <v>0</v>
      </c>
      <c r="P137" s="6">
        <v>-3223.47</v>
      </c>
      <c r="Q137" s="5">
        <v>0</v>
      </c>
    </row>
    <row r="138" spans="1:17" x14ac:dyDescent="0.35">
      <c r="A138" s="9">
        <v>44486.59107638889</v>
      </c>
      <c r="B138" s="4" t="s">
        <v>66</v>
      </c>
      <c r="C138" s="6">
        <v>19.600000000000001</v>
      </c>
      <c r="D138" s="10">
        <v>1.5800000000000409</v>
      </c>
      <c r="E138" s="6">
        <v>30.974320000000802</v>
      </c>
      <c r="F138" s="11">
        <v>494.9778622</v>
      </c>
      <c r="G138" s="6">
        <v>11.836</v>
      </c>
      <c r="H138" s="6">
        <v>-12.273440000000317</v>
      </c>
      <c r="I138" s="4">
        <v>1</v>
      </c>
      <c r="J138" s="9">
        <v>44551.441666666666</v>
      </c>
      <c r="K138" s="4">
        <v>9073.0593683590014</v>
      </c>
      <c r="L138" s="4">
        <v>5853.0547506815983</v>
      </c>
      <c r="M138" s="4" t="s">
        <v>9</v>
      </c>
      <c r="N138" s="6">
        <v>3.45</v>
      </c>
      <c r="O138" s="5">
        <v>0</v>
      </c>
      <c r="P138" s="6">
        <v>-3223.47</v>
      </c>
      <c r="Q138" s="5">
        <v>0</v>
      </c>
    </row>
    <row r="139" spans="1:17" x14ac:dyDescent="0.35">
      <c r="A139" s="9">
        <v>44487.722986111112</v>
      </c>
      <c r="B139" s="4" t="s">
        <v>66</v>
      </c>
      <c r="C139" s="6">
        <v>19.77</v>
      </c>
      <c r="D139" s="10">
        <v>0.66699999999997317</v>
      </c>
      <c r="E139" s="6">
        <v>13.18458899999947</v>
      </c>
      <c r="F139" s="11">
        <v>494.9778622</v>
      </c>
      <c r="G139" s="6">
        <v>11.836</v>
      </c>
      <c r="H139" s="6">
        <v>-5.2899769999997872</v>
      </c>
      <c r="I139" s="4">
        <v>1</v>
      </c>
      <c r="J139" s="9">
        <v>44551.441666666666</v>
      </c>
      <c r="K139" s="4">
        <v>9073.0593683590014</v>
      </c>
      <c r="L139" s="4">
        <v>5853.0547506815983</v>
      </c>
      <c r="M139" s="4" t="s">
        <v>9</v>
      </c>
      <c r="N139" s="6">
        <v>3.45</v>
      </c>
      <c r="O139" s="5">
        <v>0</v>
      </c>
      <c r="P139" s="6">
        <v>-3223.47</v>
      </c>
      <c r="Q139" s="5">
        <v>0</v>
      </c>
    </row>
    <row r="140" spans="1:17" x14ac:dyDescent="0.35">
      <c r="A140" s="9">
        <v>44488.500914351855</v>
      </c>
      <c r="B140" s="4" t="s">
        <v>66</v>
      </c>
      <c r="C140" s="6">
        <v>19.88</v>
      </c>
      <c r="D140" s="10">
        <v>0.52300000000002456</v>
      </c>
      <c r="E140" s="6">
        <v>10.396717000000487</v>
      </c>
      <c r="F140" s="11">
        <v>494.9778622</v>
      </c>
      <c r="G140" s="6">
        <v>11.836</v>
      </c>
      <c r="H140" s="6">
        <v>-4.2064890000001967</v>
      </c>
      <c r="I140" s="4">
        <v>1</v>
      </c>
      <c r="J140" s="9">
        <v>44551.441666666666</v>
      </c>
      <c r="K140" s="4">
        <v>9073.0593683590014</v>
      </c>
      <c r="L140" s="4">
        <v>5853.0547506815983</v>
      </c>
      <c r="M140" s="4" t="s">
        <v>9</v>
      </c>
      <c r="N140" s="6">
        <v>3.45</v>
      </c>
      <c r="O140" s="5">
        <v>0</v>
      </c>
      <c r="P140" s="6">
        <v>-3223.47</v>
      </c>
      <c r="Q140" s="5">
        <v>0</v>
      </c>
    </row>
    <row r="141" spans="1:17" x14ac:dyDescent="0.35">
      <c r="A141" s="9">
        <v>44490.434733796297</v>
      </c>
      <c r="B141" s="4" t="s">
        <v>66</v>
      </c>
      <c r="C141" s="6">
        <v>20.18</v>
      </c>
      <c r="D141" s="10">
        <v>1.2799999999999727</v>
      </c>
      <c r="E141" s="6">
        <v>25.823999999999451</v>
      </c>
      <c r="F141" s="11">
        <v>494.9778622</v>
      </c>
      <c r="G141" s="6">
        <v>11.836</v>
      </c>
      <c r="H141" s="6">
        <v>-10.673919999999773</v>
      </c>
      <c r="I141" s="4">
        <v>1</v>
      </c>
      <c r="J141" s="9">
        <v>44551.441666666666</v>
      </c>
      <c r="K141" s="4">
        <v>9073.0593683590014</v>
      </c>
      <c r="L141" s="4">
        <v>5853.0547506815983</v>
      </c>
      <c r="M141" s="4" t="s">
        <v>9</v>
      </c>
      <c r="N141" s="6">
        <v>3.45</v>
      </c>
      <c r="O141" s="5">
        <v>0</v>
      </c>
      <c r="P141" s="6">
        <v>-3223.47</v>
      </c>
      <c r="Q141" s="5">
        <v>0</v>
      </c>
    </row>
    <row r="142" spans="1:17" x14ac:dyDescent="0.35">
      <c r="A142" s="9">
        <v>44493.680706018517</v>
      </c>
      <c r="B142" s="4" t="s">
        <v>66</v>
      </c>
      <c r="C142" s="6">
        <v>19.510000000000002</v>
      </c>
      <c r="D142" s="10">
        <v>2.1999999999999886</v>
      </c>
      <c r="E142" s="6">
        <v>42.910999999999781</v>
      </c>
      <c r="F142" s="11">
        <v>494.9778622</v>
      </c>
      <c r="G142" s="6">
        <v>11.836</v>
      </c>
      <c r="H142" s="6">
        <v>-16.871799999999915</v>
      </c>
      <c r="I142" s="4">
        <v>1</v>
      </c>
      <c r="J142" s="9">
        <v>44551.441666666666</v>
      </c>
      <c r="K142" s="4">
        <v>9073.0593683590014</v>
      </c>
      <c r="L142" s="4">
        <v>5853.0547506815983</v>
      </c>
      <c r="M142" s="4" t="s">
        <v>9</v>
      </c>
      <c r="N142" s="6">
        <v>3.45</v>
      </c>
      <c r="O142" s="5">
        <v>0</v>
      </c>
      <c r="P142" s="6">
        <v>-3223.47</v>
      </c>
      <c r="Q142" s="5">
        <v>0</v>
      </c>
    </row>
    <row r="143" spans="1:17" x14ac:dyDescent="0.35">
      <c r="A143" s="9">
        <v>44494.669351851851</v>
      </c>
      <c r="B143" s="4" t="s">
        <v>66</v>
      </c>
      <c r="C143" s="6">
        <v>19.850000000000001</v>
      </c>
      <c r="D143" s="10">
        <v>0.67000000000001592</v>
      </c>
      <c r="E143" s="6">
        <v>13.300170000000316</v>
      </c>
      <c r="F143" s="11">
        <v>494.9778622</v>
      </c>
      <c r="G143" s="6">
        <v>11.836</v>
      </c>
      <c r="H143" s="6">
        <v>-5.370050000000127</v>
      </c>
      <c r="I143" s="4">
        <v>1</v>
      </c>
      <c r="J143" s="9">
        <v>44551.441666666666</v>
      </c>
      <c r="K143" s="4">
        <v>9073.0593683590014</v>
      </c>
      <c r="L143" s="4">
        <v>5853.0547506815983</v>
      </c>
      <c r="M143" s="4" t="s">
        <v>9</v>
      </c>
      <c r="N143" s="6">
        <v>3.45</v>
      </c>
      <c r="O143" s="5">
        <v>0</v>
      </c>
      <c r="P143" s="6">
        <v>-3223.47</v>
      </c>
      <c r="Q143" s="5">
        <v>0</v>
      </c>
    </row>
    <row r="144" spans="1:17" x14ac:dyDescent="0.35">
      <c r="A144" s="9">
        <v>44497.331759259258</v>
      </c>
      <c r="B144" s="4" t="s">
        <v>66</v>
      </c>
      <c r="C144" s="6">
        <v>18.32</v>
      </c>
      <c r="D144" s="10">
        <v>1.8299999999999841</v>
      </c>
      <c r="E144" s="6">
        <v>33.531089999999708</v>
      </c>
      <c r="F144" s="11">
        <v>494.9778622</v>
      </c>
      <c r="G144" s="6">
        <v>11.836</v>
      </c>
      <c r="H144" s="6">
        <v>-11.871209999999895</v>
      </c>
      <c r="I144" s="4">
        <v>1</v>
      </c>
      <c r="J144" s="9">
        <v>44551.441666666666</v>
      </c>
      <c r="K144" s="4">
        <v>9073.0593683590014</v>
      </c>
      <c r="L144" s="4">
        <v>5853.0547506815983</v>
      </c>
      <c r="M144" s="4" t="s">
        <v>9</v>
      </c>
      <c r="N144" s="6">
        <v>3.45</v>
      </c>
      <c r="O144" s="5">
        <v>0</v>
      </c>
      <c r="P144" s="6">
        <v>-3223.47</v>
      </c>
      <c r="Q144" s="5">
        <v>0</v>
      </c>
    </row>
    <row r="145" spans="1:17" x14ac:dyDescent="0.35">
      <c r="A145" s="9">
        <v>44499.546597222223</v>
      </c>
      <c r="B145" s="4" t="s">
        <v>66</v>
      </c>
      <c r="C145" s="6">
        <v>17.88</v>
      </c>
      <c r="D145" s="10">
        <v>1.5</v>
      </c>
      <c r="E145" s="6">
        <v>26.82</v>
      </c>
      <c r="F145" s="11">
        <v>494.9778622</v>
      </c>
      <c r="G145" s="6">
        <v>11.836</v>
      </c>
      <c r="H145" s="6">
        <v>-9.0659999999999989</v>
      </c>
      <c r="I145" s="4">
        <v>1</v>
      </c>
      <c r="J145" s="9">
        <v>44551.441666666666</v>
      </c>
      <c r="K145" s="4">
        <v>9073.0593683590014</v>
      </c>
      <c r="L145" s="4">
        <v>5853.0547506815983</v>
      </c>
      <c r="M145" s="4" t="s">
        <v>9</v>
      </c>
      <c r="N145" s="6">
        <v>3.45</v>
      </c>
      <c r="O145" s="5">
        <v>0</v>
      </c>
      <c r="P145" s="6">
        <v>-3223.47</v>
      </c>
      <c r="Q145" s="5">
        <v>0</v>
      </c>
    </row>
    <row r="146" spans="1:17" x14ac:dyDescent="0.35">
      <c r="A146" s="9">
        <v>44500.579039351855</v>
      </c>
      <c r="B146" s="4" t="s">
        <v>66</v>
      </c>
      <c r="C146" s="6">
        <v>17.37</v>
      </c>
      <c r="D146" s="10">
        <v>0.72000000000002728</v>
      </c>
      <c r="E146" s="6">
        <v>12.509280000000475</v>
      </c>
      <c r="F146" s="11">
        <v>494.9778622</v>
      </c>
      <c r="G146" s="6">
        <v>11.836</v>
      </c>
      <c r="H146" s="6">
        <v>-3.9873600000001517</v>
      </c>
      <c r="I146" s="4">
        <v>1</v>
      </c>
      <c r="J146" s="9">
        <v>44551.441666666666</v>
      </c>
      <c r="K146" s="4">
        <v>9073.0593683590014</v>
      </c>
      <c r="L146" s="4">
        <v>5853.0547506815983</v>
      </c>
      <c r="M146" s="4" t="s">
        <v>9</v>
      </c>
      <c r="N146" s="6">
        <v>3.45</v>
      </c>
      <c r="O146" s="5">
        <v>0</v>
      </c>
      <c r="P146" s="6">
        <v>-3223.47</v>
      </c>
      <c r="Q146" s="5">
        <v>0</v>
      </c>
    </row>
    <row r="147" spans="1:17" x14ac:dyDescent="0.35">
      <c r="A147" s="9">
        <v>44501.481076388889</v>
      </c>
      <c r="B147" s="4" t="s">
        <v>66</v>
      </c>
      <c r="C147" s="6">
        <v>18.13</v>
      </c>
      <c r="D147" s="10">
        <v>0.60500000000001819</v>
      </c>
      <c r="E147" s="6">
        <v>10.970465000000329</v>
      </c>
      <c r="F147" s="11">
        <v>494.9778622</v>
      </c>
      <c r="G147" s="6">
        <v>11.836</v>
      </c>
      <c r="H147" s="6">
        <v>-3.8096850000001137</v>
      </c>
      <c r="I147" s="4">
        <v>1</v>
      </c>
      <c r="J147" s="9">
        <v>44551.441666666666</v>
      </c>
      <c r="K147" s="4">
        <v>9073.0593683590014</v>
      </c>
      <c r="L147" s="4">
        <v>5853.0547506815983</v>
      </c>
      <c r="M147" s="4" t="s">
        <v>9</v>
      </c>
      <c r="N147" s="6">
        <v>3.45</v>
      </c>
      <c r="O147" s="5">
        <v>0</v>
      </c>
      <c r="P147" s="6">
        <v>-3223.47</v>
      </c>
      <c r="Q147" s="5">
        <v>0</v>
      </c>
    </row>
    <row r="148" spans="1:17" x14ac:dyDescent="0.35">
      <c r="A148" s="9">
        <v>44504.550532407404</v>
      </c>
      <c r="B148" s="4" t="s">
        <v>66</v>
      </c>
      <c r="C148" s="6">
        <v>18.690000000000001</v>
      </c>
      <c r="D148" s="10">
        <v>2.0449999999999591</v>
      </c>
      <c r="E148" s="6">
        <v>38.219004999999235</v>
      </c>
      <c r="F148" s="11">
        <v>494.9778622</v>
      </c>
      <c r="G148" s="6">
        <v>11.836</v>
      </c>
      <c r="H148" s="6">
        <v>-14.01438499999972</v>
      </c>
      <c r="I148" s="4">
        <v>1</v>
      </c>
      <c r="J148" s="9">
        <v>44551.441666666666</v>
      </c>
      <c r="K148" s="4">
        <v>9073.0593683590014</v>
      </c>
      <c r="L148" s="4">
        <v>5853.0547506815983</v>
      </c>
      <c r="M148" s="4" t="s">
        <v>9</v>
      </c>
      <c r="N148" s="6">
        <v>3.45</v>
      </c>
      <c r="O148" s="5">
        <v>0</v>
      </c>
      <c r="P148" s="6">
        <v>-3223.47</v>
      </c>
      <c r="Q148" s="5">
        <v>0</v>
      </c>
    </row>
    <row r="149" spans="1:17" x14ac:dyDescent="0.35">
      <c r="A149" s="9">
        <v>44505.590532407405</v>
      </c>
      <c r="B149" s="4" t="s">
        <v>66</v>
      </c>
      <c r="C149" s="6">
        <v>19.59</v>
      </c>
      <c r="D149" s="10">
        <v>0.71000000000003638</v>
      </c>
      <c r="E149" s="6">
        <v>13.911030000000713</v>
      </c>
      <c r="F149" s="11">
        <v>494.9778622</v>
      </c>
      <c r="G149" s="6">
        <v>11.836</v>
      </c>
      <c r="H149" s="6">
        <v>-5.5074700000002821</v>
      </c>
      <c r="I149" s="4">
        <v>1</v>
      </c>
      <c r="J149" s="9">
        <v>44551.441666666666</v>
      </c>
      <c r="K149" s="4">
        <v>9073.0593683590014</v>
      </c>
      <c r="L149" s="4">
        <v>5853.0547506815983</v>
      </c>
      <c r="M149" s="4" t="s">
        <v>9</v>
      </c>
      <c r="N149" s="6">
        <v>3.45</v>
      </c>
      <c r="O149" s="5">
        <v>0</v>
      </c>
      <c r="P149" s="6">
        <v>-3223.47</v>
      </c>
      <c r="Q149" s="5">
        <v>0</v>
      </c>
    </row>
    <row r="150" spans="1:17" x14ac:dyDescent="0.35">
      <c r="A150" s="9">
        <v>44506.579652777778</v>
      </c>
      <c r="B150" s="4" t="s">
        <v>66</v>
      </c>
      <c r="C150" s="6">
        <v>18.79</v>
      </c>
      <c r="D150" s="10">
        <v>0.66999999999995907</v>
      </c>
      <c r="E150" s="6">
        <v>12.585949999999231</v>
      </c>
      <c r="F150" s="11">
        <v>494.9778622</v>
      </c>
      <c r="G150" s="6">
        <v>11.836</v>
      </c>
      <c r="H150" s="6">
        <v>-4.6558299999997157</v>
      </c>
      <c r="I150" s="4">
        <v>1</v>
      </c>
      <c r="J150" s="9">
        <v>44551.441666666666</v>
      </c>
      <c r="K150" s="4">
        <v>9073.0593683590014</v>
      </c>
      <c r="L150" s="4">
        <v>5853.0547506815983</v>
      </c>
      <c r="M150" s="4" t="s">
        <v>9</v>
      </c>
      <c r="N150" s="6">
        <v>3.45</v>
      </c>
      <c r="O150" s="5">
        <v>0</v>
      </c>
      <c r="P150" s="6">
        <v>-3223.47</v>
      </c>
      <c r="Q150" s="5">
        <v>0</v>
      </c>
    </row>
    <row r="151" spans="1:17" x14ac:dyDescent="0.35">
      <c r="A151" s="9">
        <v>44507.497476851851</v>
      </c>
      <c r="B151" s="4" t="s">
        <v>66</v>
      </c>
      <c r="C151" s="6">
        <v>20.309999999999999</v>
      </c>
      <c r="D151" s="10">
        <v>0.67300000000000182</v>
      </c>
      <c r="E151" s="6">
        <v>13.668630000000038</v>
      </c>
      <c r="F151" s="11">
        <v>494.9778622</v>
      </c>
      <c r="G151" s="6">
        <v>11.836</v>
      </c>
      <c r="H151" s="6">
        <v>-5.7030020000000157</v>
      </c>
      <c r="I151" s="4">
        <v>1</v>
      </c>
      <c r="J151" s="9">
        <v>44551.441666666666</v>
      </c>
      <c r="K151" s="4">
        <v>9073.0593683590014</v>
      </c>
      <c r="L151" s="4">
        <v>5853.0547506815983</v>
      </c>
      <c r="M151" s="4" t="s">
        <v>9</v>
      </c>
      <c r="N151" s="6">
        <v>3.45</v>
      </c>
      <c r="O151" s="5">
        <v>0</v>
      </c>
      <c r="P151" s="6">
        <v>-3223.47</v>
      </c>
      <c r="Q151" s="5">
        <v>0</v>
      </c>
    </row>
    <row r="152" spans="1:17" x14ac:dyDescent="0.35">
      <c r="A152" s="9">
        <v>44508.867256944446</v>
      </c>
      <c r="B152" s="4" t="s">
        <v>66</v>
      </c>
      <c r="C152" s="6">
        <v>20.03</v>
      </c>
      <c r="D152" s="10">
        <v>0.93700000000001182</v>
      </c>
      <c r="E152" s="6">
        <v>18.763425000000236</v>
      </c>
      <c r="F152" s="11">
        <v>494.9778622</v>
      </c>
      <c r="G152" s="6">
        <v>11.836</v>
      </c>
      <c r="H152" s="6">
        <v>-7.6730930000000956</v>
      </c>
      <c r="I152" s="4">
        <v>1</v>
      </c>
      <c r="J152" s="9">
        <v>44551.441666666666</v>
      </c>
      <c r="K152" s="4">
        <v>9073.0593683590014</v>
      </c>
      <c r="L152" s="4">
        <v>5853.0547506815983</v>
      </c>
      <c r="M152" s="4" t="s">
        <v>9</v>
      </c>
      <c r="N152" s="6">
        <v>3.45</v>
      </c>
      <c r="O152" s="5">
        <v>0</v>
      </c>
      <c r="P152" s="6">
        <v>-3223.47</v>
      </c>
      <c r="Q152" s="5">
        <v>0</v>
      </c>
    </row>
    <row r="153" spans="1:17" x14ac:dyDescent="0.35">
      <c r="A153" s="9">
        <v>44509.784259259257</v>
      </c>
      <c r="B153" s="4" t="s">
        <v>66</v>
      </c>
      <c r="C153" s="6">
        <v>19.75</v>
      </c>
      <c r="D153" s="10">
        <v>0.62999999999999545</v>
      </c>
      <c r="E153" s="6">
        <v>12.44123999999991</v>
      </c>
      <c r="F153" s="11">
        <v>494.9778622</v>
      </c>
      <c r="G153" s="6">
        <v>11.836</v>
      </c>
      <c r="H153" s="6">
        <v>-4.9845599999999637</v>
      </c>
      <c r="I153" s="4">
        <v>1</v>
      </c>
      <c r="J153" s="9">
        <v>44551.441666666666</v>
      </c>
      <c r="K153" s="4">
        <v>9073.0593683590014</v>
      </c>
      <c r="L153" s="4">
        <v>5853.0547506815983</v>
      </c>
      <c r="M153" s="4" t="s">
        <v>9</v>
      </c>
      <c r="N153" s="6">
        <v>3.45</v>
      </c>
      <c r="O153" s="5">
        <v>0</v>
      </c>
      <c r="P153" s="6">
        <v>-3223.47</v>
      </c>
      <c r="Q153" s="5">
        <v>0</v>
      </c>
    </row>
    <row r="154" spans="1:17" x14ac:dyDescent="0.35">
      <c r="A154" s="9">
        <v>44511.590486111112</v>
      </c>
      <c r="B154" s="4" t="s">
        <v>66</v>
      </c>
      <c r="C154" s="6">
        <v>18.89</v>
      </c>
      <c r="D154" s="10">
        <v>1.2100000000000364</v>
      </c>
      <c r="E154" s="6">
        <v>22.858110000000686</v>
      </c>
      <c r="F154" s="11">
        <v>494.9778622</v>
      </c>
      <c r="G154" s="6">
        <v>11.836</v>
      </c>
      <c r="H154" s="6">
        <v>-8.5365500000002541</v>
      </c>
      <c r="I154" s="4">
        <v>1</v>
      </c>
      <c r="J154" s="9">
        <v>44551.441666666666</v>
      </c>
      <c r="K154" s="4">
        <v>9073.0593683590014</v>
      </c>
      <c r="L154" s="4">
        <v>5853.0547506815983</v>
      </c>
      <c r="M154" s="4" t="s">
        <v>9</v>
      </c>
      <c r="N154" s="6">
        <v>3.45</v>
      </c>
      <c r="O154" s="5">
        <v>0</v>
      </c>
      <c r="P154" s="6">
        <v>-3223.47</v>
      </c>
      <c r="Q154" s="5">
        <v>0</v>
      </c>
    </row>
    <row r="155" spans="1:17" x14ac:dyDescent="0.35">
      <c r="A155" s="9">
        <v>44512.699745370373</v>
      </c>
      <c r="B155" s="4" t="s">
        <v>66</v>
      </c>
      <c r="C155" s="6">
        <v>18.37</v>
      </c>
      <c r="D155" s="10">
        <v>0.74500000000000455</v>
      </c>
      <c r="E155" s="6">
        <v>13.684160000000084</v>
      </c>
      <c r="F155" s="11">
        <v>494.9778622</v>
      </c>
      <c r="G155" s="6">
        <v>11.836</v>
      </c>
      <c r="H155" s="6">
        <v>-4.8663400000000294</v>
      </c>
      <c r="I155" s="4">
        <v>1</v>
      </c>
      <c r="J155" s="9">
        <v>44551.441666666666</v>
      </c>
      <c r="K155" s="4">
        <v>9073.0593683590014</v>
      </c>
      <c r="L155" s="4">
        <v>5853.0547506815983</v>
      </c>
      <c r="M155" s="4" t="s">
        <v>9</v>
      </c>
      <c r="N155" s="6">
        <v>3.45</v>
      </c>
      <c r="O155" s="5">
        <v>0</v>
      </c>
      <c r="P155" s="6">
        <v>-3223.47</v>
      </c>
      <c r="Q155" s="5">
        <v>0</v>
      </c>
    </row>
    <row r="156" spans="1:17" x14ac:dyDescent="0.35">
      <c r="A156" s="9">
        <v>44513.646620370368</v>
      </c>
      <c r="B156" s="4" t="s">
        <v>66</v>
      </c>
      <c r="C156" s="6">
        <v>18.48</v>
      </c>
      <c r="D156" s="10">
        <v>0.63499999999999091</v>
      </c>
      <c r="E156" s="6">
        <v>11.732894999999832</v>
      </c>
      <c r="F156" s="11">
        <v>494.9778622</v>
      </c>
      <c r="G156" s="6">
        <v>11.836</v>
      </c>
      <c r="H156" s="6">
        <v>-4.2170349999999397</v>
      </c>
      <c r="I156" s="4">
        <v>1</v>
      </c>
      <c r="J156" s="9">
        <v>44551.441666666666</v>
      </c>
      <c r="K156" s="4">
        <v>9073.0593683590014</v>
      </c>
      <c r="L156" s="4">
        <v>5853.0547506815983</v>
      </c>
      <c r="M156" s="4" t="s">
        <v>9</v>
      </c>
      <c r="N156" s="6">
        <v>3.45</v>
      </c>
      <c r="O156" s="5">
        <v>0</v>
      </c>
      <c r="P156" s="6">
        <v>-3223.47</v>
      </c>
      <c r="Q156" s="5">
        <v>0</v>
      </c>
    </row>
    <row r="157" spans="1:17" x14ac:dyDescent="0.35">
      <c r="A157" s="9">
        <v>44515.792407407411</v>
      </c>
      <c r="B157" s="4" t="s">
        <v>66</v>
      </c>
      <c r="C157" s="6">
        <v>18.46</v>
      </c>
      <c r="D157" s="10">
        <v>2.0199999999999818</v>
      </c>
      <c r="E157" s="6">
        <v>37.291219999999662</v>
      </c>
      <c r="F157" s="11">
        <v>494.9778622</v>
      </c>
      <c r="G157" s="6">
        <v>11.836</v>
      </c>
      <c r="H157" s="6">
        <v>-13.382499999999876</v>
      </c>
      <c r="I157" s="4">
        <v>1</v>
      </c>
      <c r="J157" s="9">
        <v>44551.441666666666</v>
      </c>
      <c r="K157" s="4">
        <v>9073.0593683590014</v>
      </c>
      <c r="L157" s="4">
        <v>5853.0547506815983</v>
      </c>
      <c r="M157" s="4" t="s">
        <v>9</v>
      </c>
      <c r="N157" s="6">
        <v>3.45</v>
      </c>
      <c r="O157" s="5">
        <v>0</v>
      </c>
      <c r="P157" s="6">
        <v>-3223.47</v>
      </c>
      <c r="Q157" s="5">
        <v>0</v>
      </c>
    </row>
    <row r="158" spans="1:17" x14ac:dyDescent="0.35">
      <c r="A158" s="9">
        <v>44516.622534722221</v>
      </c>
      <c r="B158" s="4" t="s">
        <v>66</v>
      </c>
      <c r="C158" s="6">
        <v>16.84</v>
      </c>
      <c r="D158" s="10">
        <v>0.01</v>
      </c>
      <c r="E158" s="6">
        <v>0.16835</v>
      </c>
      <c r="F158" s="11">
        <v>494.9778622</v>
      </c>
      <c r="G158" s="6">
        <v>11.836</v>
      </c>
      <c r="H158" s="6">
        <v>-4.9989999999999993E-2</v>
      </c>
      <c r="I158" s="4">
        <v>1</v>
      </c>
      <c r="J158" s="9">
        <v>44551.441666666666</v>
      </c>
      <c r="K158" s="4">
        <v>9073.0593683590014</v>
      </c>
      <c r="L158" s="4">
        <v>5853.0547506815983</v>
      </c>
      <c r="M158" s="4" t="s">
        <v>9</v>
      </c>
      <c r="N158" s="6">
        <v>3.45</v>
      </c>
      <c r="O158" s="5">
        <v>0</v>
      </c>
      <c r="P158" s="6">
        <v>-3223.47</v>
      </c>
      <c r="Q158" s="5">
        <v>0</v>
      </c>
    </row>
    <row r="159" spans="1:17" x14ac:dyDescent="0.35">
      <c r="A159" s="9">
        <v>44517.480949074074</v>
      </c>
      <c r="B159" s="4" t="s">
        <v>66</v>
      </c>
      <c r="C159" s="6">
        <v>16.36</v>
      </c>
      <c r="D159" s="10">
        <v>0.57709999999997308</v>
      </c>
      <c r="E159" s="6">
        <v>9.4425101999995587</v>
      </c>
      <c r="F159" s="11">
        <v>494.9778622</v>
      </c>
      <c r="G159" s="6">
        <v>11.836</v>
      </c>
      <c r="H159" s="6">
        <v>-2.6119545999998772</v>
      </c>
      <c r="I159" s="4">
        <v>1</v>
      </c>
      <c r="J159" s="9">
        <v>44551.441666666666</v>
      </c>
      <c r="K159" s="4">
        <v>9073.0593683590014</v>
      </c>
      <c r="L159" s="4">
        <v>5853.0547506815983</v>
      </c>
      <c r="M159" s="4" t="s">
        <v>9</v>
      </c>
      <c r="N159" s="6">
        <v>3.45</v>
      </c>
      <c r="O159" s="5">
        <v>0</v>
      </c>
      <c r="P159" s="6">
        <v>-3223.47</v>
      </c>
      <c r="Q159" s="5">
        <v>0</v>
      </c>
    </row>
    <row r="160" spans="1:17" x14ac:dyDescent="0.35">
      <c r="A160" s="9">
        <v>44518.979907407411</v>
      </c>
      <c r="B160" s="4" t="s">
        <v>66</v>
      </c>
      <c r="C160" s="6">
        <v>14.77</v>
      </c>
      <c r="D160" s="10">
        <v>1.0328999999999837</v>
      </c>
      <c r="E160" s="6">
        <v>15.254900099999759</v>
      </c>
      <c r="F160" s="11">
        <v>494.9778622</v>
      </c>
      <c r="G160" s="6">
        <v>11.836</v>
      </c>
      <c r="H160" s="6">
        <v>-3.0294956999999521</v>
      </c>
      <c r="I160" s="4">
        <v>1</v>
      </c>
      <c r="J160" s="9">
        <v>44551.441666666666</v>
      </c>
      <c r="K160" s="4">
        <v>9073.0593683590014</v>
      </c>
      <c r="L160" s="4">
        <v>5853.0547506815983</v>
      </c>
      <c r="M160" s="4" t="s">
        <v>9</v>
      </c>
      <c r="N160" s="6">
        <v>3.45</v>
      </c>
      <c r="O160" s="5">
        <v>0</v>
      </c>
      <c r="P160" s="6">
        <v>-3223.47</v>
      </c>
      <c r="Q160" s="5">
        <v>0</v>
      </c>
    </row>
    <row r="161" spans="1:17" x14ac:dyDescent="0.35">
      <c r="A161" s="9">
        <v>44521.805011574077</v>
      </c>
      <c r="B161" s="4" t="s">
        <v>66</v>
      </c>
      <c r="C161" s="6">
        <v>15.01</v>
      </c>
      <c r="D161" s="10">
        <v>1.9830000000000041</v>
      </c>
      <c r="E161" s="6">
        <v>29.768796000000062</v>
      </c>
      <c r="F161" s="11">
        <v>494.9778622</v>
      </c>
      <c r="G161" s="6">
        <v>11.836</v>
      </c>
      <c r="H161" s="6">
        <v>-6.2980080000000136</v>
      </c>
      <c r="I161" s="4">
        <v>1</v>
      </c>
      <c r="J161" s="9">
        <v>44551.441666666666</v>
      </c>
      <c r="K161" s="4">
        <v>9073.0593683590014</v>
      </c>
      <c r="L161" s="4">
        <v>5853.0547506815983</v>
      </c>
      <c r="M161" s="4" t="s">
        <v>9</v>
      </c>
      <c r="N161" s="6">
        <v>3.45</v>
      </c>
      <c r="O161" s="5">
        <v>0</v>
      </c>
      <c r="P161" s="6">
        <v>-3223.47</v>
      </c>
      <c r="Q161" s="5">
        <v>0</v>
      </c>
    </row>
    <row r="162" spans="1:17" x14ac:dyDescent="0.35">
      <c r="A162" s="9">
        <v>44522.522453703707</v>
      </c>
      <c r="B162" s="4" t="s">
        <v>66</v>
      </c>
      <c r="C162" s="6">
        <v>15.31</v>
      </c>
      <c r="D162" s="10">
        <v>0.51600000000001955</v>
      </c>
      <c r="E162" s="6">
        <v>7.8978960000002996</v>
      </c>
      <c r="F162" s="11">
        <v>494.9778622</v>
      </c>
      <c r="G162" s="6">
        <v>11.836</v>
      </c>
      <c r="H162" s="6">
        <v>-1.7905200000000683</v>
      </c>
      <c r="I162" s="4">
        <v>1</v>
      </c>
      <c r="J162" s="9">
        <v>44551.441666666666</v>
      </c>
      <c r="K162" s="4">
        <v>9073.0593683590014</v>
      </c>
      <c r="L162" s="4">
        <v>5853.0547506815983</v>
      </c>
      <c r="M162" s="4" t="s">
        <v>9</v>
      </c>
      <c r="N162" s="6">
        <v>3.45</v>
      </c>
      <c r="O162" s="5">
        <v>0</v>
      </c>
      <c r="P162" s="6">
        <v>-3223.47</v>
      </c>
      <c r="Q162" s="5">
        <v>0</v>
      </c>
    </row>
    <row r="163" spans="1:17" x14ac:dyDescent="0.35">
      <c r="A163" s="9">
        <v>44523.336562500001</v>
      </c>
      <c r="B163" s="4" t="s">
        <v>66</v>
      </c>
      <c r="C163" s="6">
        <v>14.94</v>
      </c>
      <c r="D163" s="10">
        <v>0.58100000000001728</v>
      </c>
      <c r="E163" s="6">
        <v>8.6824640000002589</v>
      </c>
      <c r="F163" s="11">
        <v>494.9778622</v>
      </c>
      <c r="G163" s="6">
        <v>11.836</v>
      </c>
      <c r="H163" s="6">
        <v>-1.8057480000000545</v>
      </c>
      <c r="I163" s="4">
        <v>1</v>
      </c>
      <c r="J163" s="9">
        <v>44551.441666666666</v>
      </c>
      <c r="K163" s="4">
        <v>9073.0593683590014</v>
      </c>
      <c r="L163" s="4">
        <v>5853.0547506815983</v>
      </c>
      <c r="M163" s="4" t="s">
        <v>9</v>
      </c>
      <c r="N163" s="6">
        <v>3.45</v>
      </c>
      <c r="O163" s="5">
        <v>0</v>
      </c>
      <c r="P163" s="6">
        <v>-3223.47</v>
      </c>
      <c r="Q163" s="5">
        <v>0</v>
      </c>
    </row>
    <row r="164" spans="1:17" x14ac:dyDescent="0.35">
      <c r="A164" s="9">
        <v>44523.803252314814</v>
      </c>
      <c r="B164" s="4" t="s">
        <v>66</v>
      </c>
      <c r="C164" s="6">
        <v>14.78</v>
      </c>
      <c r="D164" s="10">
        <v>0.32999999999998408</v>
      </c>
      <c r="E164" s="6">
        <v>4.8780599999997651</v>
      </c>
      <c r="F164" s="11">
        <v>494.9778622</v>
      </c>
      <c r="G164" s="6">
        <v>11.836</v>
      </c>
      <c r="H164" s="6">
        <v>-0.97217999999995364</v>
      </c>
      <c r="I164" s="4">
        <v>1</v>
      </c>
      <c r="J164" s="9">
        <v>44551.441666666666</v>
      </c>
      <c r="K164" s="4">
        <v>9073.0593683590014</v>
      </c>
      <c r="L164" s="4">
        <v>5853.0547506815983</v>
      </c>
      <c r="M164" s="4" t="s">
        <v>9</v>
      </c>
      <c r="N164" s="6">
        <v>3.45</v>
      </c>
      <c r="O164" s="5">
        <v>0</v>
      </c>
      <c r="P164" s="6">
        <v>-3223.47</v>
      </c>
      <c r="Q164" s="5">
        <v>0</v>
      </c>
    </row>
    <row r="165" spans="1:17" x14ac:dyDescent="0.35">
      <c r="A165" s="9">
        <v>44524.559120370373</v>
      </c>
      <c r="B165" s="4" t="s">
        <v>66</v>
      </c>
      <c r="C165" s="6">
        <v>13.76</v>
      </c>
      <c r="D165" s="10">
        <v>0.55200000000002092</v>
      </c>
      <c r="E165" s="6">
        <v>7.5955200000002883</v>
      </c>
      <c r="F165" s="11">
        <v>494.9778622</v>
      </c>
      <c r="G165" s="6">
        <v>11.836</v>
      </c>
      <c r="H165" s="6">
        <v>-1.0620480000000407</v>
      </c>
      <c r="I165" s="4">
        <v>1</v>
      </c>
      <c r="J165" s="9">
        <v>44551.441666666666</v>
      </c>
      <c r="K165" s="4">
        <v>9073.0593683590014</v>
      </c>
      <c r="L165" s="4">
        <v>5853.0547506815983</v>
      </c>
      <c r="M165" s="4" t="s">
        <v>9</v>
      </c>
      <c r="N165" s="6">
        <v>3.45</v>
      </c>
      <c r="O165" s="5">
        <v>0</v>
      </c>
      <c r="P165" s="6">
        <v>-3223.47</v>
      </c>
      <c r="Q165" s="5">
        <v>0</v>
      </c>
    </row>
    <row r="166" spans="1:17" x14ac:dyDescent="0.35">
      <c r="A166" s="9">
        <v>44525.59815972222</v>
      </c>
      <c r="B166" s="4" t="s">
        <v>66</v>
      </c>
      <c r="C166" s="6">
        <v>14.57</v>
      </c>
      <c r="D166" s="10">
        <v>0.7279999999999518</v>
      </c>
      <c r="E166" s="6">
        <v>10.606959999999297</v>
      </c>
      <c r="F166" s="11">
        <v>494.9778622</v>
      </c>
      <c r="G166" s="6">
        <v>11.836</v>
      </c>
      <c r="H166" s="6">
        <v>-1.9903519999998682</v>
      </c>
      <c r="I166" s="4">
        <v>1</v>
      </c>
      <c r="J166" s="9">
        <v>44551.441666666666</v>
      </c>
      <c r="K166" s="4">
        <v>9073.0593683590014</v>
      </c>
      <c r="L166" s="4">
        <v>5853.0547506815983</v>
      </c>
      <c r="M166" s="4" t="s">
        <v>9</v>
      </c>
      <c r="N166" s="6">
        <v>3.45</v>
      </c>
      <c r="O166" s="5">
        <v>0</v>
      </c>
      <c r="P166" s="6">
        <v>-3223.47</v>
      </c>
      <c r="Q166" s="5">
        <v>0</v>
      </c>
    </row>
    <row r="167" spans="1:17" x14ac:dyDescent="0.35">
      <c r="A167" s="9">
        <v>44526.47828703704</v>
      </c>
      <c r="B167" s="4" t="s">
        <v>66</v>
      </c>
      <c r="C167" s="6">
        <v>12.87</v>
      </c>
      <c r="D167" s="10">
        <v>0.60000000000002274</v>
      </c>
      <c r="E167" s="6">
        <v>7.7220000000002926</v>
      </c>
      <c r="F167" s="11">
        <v>494.9778622</v>
      </c>
      <c r="G167" s="6">
        <v>11.836</v>
      </c>
      <c r="H167" s="6">
        <v>-0.62040000000002316</v>
      </c>
      <c r="I167" s="4">
        <v>1</v>
      </c>
      <c r="J167" s="9">
        <v>44551.441666666666</v>
      </c>
      <c r="K167" s="4">
        <v>9073.0593683590014</v>
      </c>
      <c r="L167" s="4">
        <v>5853.0547506815983</v>
      </c>
      <c r="M167" s="4" t="s">
        <v>9</v>
      </c>
      <c r="N167" s="6">
        <v>3.45</v>
      </c>
      <c r="O167" s="5">
        <v>0</v>
      </c>
      <c r="P167" s="6">
        <v>-3223.47</v>
      </c>
      <c r="Q167" s="5">
        <v>0</v>
      </c>
    </row>
    <row r="168" spans="1:17" x14ac:dyDescent="0.35">
      <c r="A168" s="9">
        <v>44527.618483796294</v>
      </c>
      <c r="B168" s="4" t="s">
        <v>66</v>
      </c>
      <c r="C168" s="6">
        <v>13.4</v>
      </c>
      <c r="D168" s="10">
        <v>0.76999999999998181</v>
      </c>
      <c r="E168" s="6">
        <v>10.319539999999757</v>
      </c>
      <c r="F168" s="11">
        <v>494.9778622</v>
      </c>
      <c r="G168" s="6">
        <v>11.836</v>
      </c>
      <c r="H168" s="6">
        <v>-1.2058199999999708</v>
      </c>
      <c r="I168" s="4">
        <v>1</v>
      </c>
      <c r="J168" s="9">
        <v>44551.441666666666</v>
      </c>
      <c r="K168" s="4">
        <v>9073.0593683590014</v>
      </c>
      <c r="L168" s="4">
        <v>5853.0547506815983</v>
      </c>
      <c r="M168" s="4" t="s">
        <v>9</v>
      </c>
      <c r="N168" s="6">
        <v>3.45</v>
      </c>
      <c r="O168" s="5">
        <v>0</v>
      </c>
      <c r="P168" s="6">
        <v>-3223.47</v>
      </c>
      <c r="Q168" s="5">
        <v>0</v>
      </c>
    </row>
    <row r="169" spans="1:17" x14ac:dyDescent="0.35">
      <c r="A169" s="9">
        <v>44528.966481481482</v>
      </c>
      <c r="B169" s="4" t="s">
        <v>66</v>
      </c>
      <c r="C169" s="6">
        <v>13.54</v>
      </c>
      <c r="D169" s="10">
        <v>1</v>
      </c>
      <c r="E169" s="6">
        <v>13.542999999999999</v>
      </c>
      <c r="F169" s="11">
        <v>494.9778622</v>
      </c>
      <c r="G169" s="6">
        <v>11.836</v>
      </c>
      <c r="H169" s="6">
        <v>-1.706999999999999</v>
      </c>
      <c r="I169" s="4">
        <v>1</v>
      </c>
      <c r="J169" s="9">
        <v>44551.441666666666</v>
      </c>
      <c r="K169" s="4">
        <v>9073.0593683590014</v>
      </c>
      <c r="L169" s="4">
        <v>5853.0547506815983</v>
      </c>
      <c r="M169" s="4" t="s">
        <v>9</v>
      </c>
      <c r="N169" s="6">
        <v>3.45</v>
      </c>
      <c r="O169" s="5">
        <v>0</v>
      </c>
      <c r="P169" s="6">
        <v>-3223.47</v>
      </c>
      <c r="Q169" s="5">
        <v>0</v>
      </c>
    </row>
    <row r="170" spans="1:17" x14ac:dyDescent="0.35">
      <c r="A170" s="9">
        <v>44529.400439814817</v>
      </c>
      <c r="B170" s="4" t="s">
        <v>66</v>
      </c>
      <c r="C170" s="6">
        <v>14.35</v>
      </c>
      <c r="D170" s="10">
        <v>0.29000000000002046</v>
      </c>
      <c r="E170" s="6">
        <v>4.1615000000002933</v>
      </c>
      <c r="F170" s="11">
        <v>494.9778622</v>
      </c>
      <c r="G170" s="6">
        <v>11.836</v>
      </c>
      <c r="H170" s="6">
        <v>-0.72906000000005111</v>
      </c>
      <c r="I170" s="4">
        <v>1</v>
      </c>
      <c r="J170" s="9">
        <v>44551.441666666666</v>
      </c>
      <c r="K170" s="4">
        <v>9073.0593683590014</v>
      </c>
      <c r="L170" s="4">
        <v>5853.0547506815983</v>
      </c>
      <c r="M170" s="4" t="s">
        <v>9</v>
      </c>
      <c r="N170" s="6">
        <v>3.45</v>
      </c>
      <c r="O170" s="5">
        <v>0</v>
      </c>
      <c r="P170" s="6">
        <v>-3223.47</v>
      </c>
      <c r="Q170" s="5">
        <v>0</v>
      </c>
    </row>
    <row r="171" spans="1:17" x14ac:dyDescent="0.35">
      <c r="A171" s="9">
        <v>44531.308356481481</v>
      </c>
      <c r="B171" s="4" t="s">
        <v>66</v>
      </c>
      <c r="C171" s="6">
        <v>13.63</v>
      </c>
      <c r="D171" s="10">
        <v>1.3500000000000227</v>
      </c>
      <c r="E171" s="6">
        <v>18.399150000000311</v>
      </c>
      <c r="F171" s="11">
        <v>494.9778622</v>
      </c>
      <c r="G171" s="6">
        <v>11.836</v>
      </c>
      <c r="H171" s="6">
        <v>-2.4205500000000413</v>
      </c>
      <c r="I171" s="4">
        <v>1</v>
      </c>
      <c r="J171" s="9">
        <v>44551.441666666666</v>
      </c>
      <c r="K171" s="4">
        <v>9073.0593683590014</v>
      </c>
      <c r="L171" s="4">
        <v>5853.0547506815983</v>
      </c>
      <c r="M171" s="4" t="s">
        <v>9</v>
      </c>
      <c r="N171" s="6">
        <v>3.45</v>
      </c>
      <c r="O171" s="5">
        <v>0</v>
      </c>
      <c r="P171" s="6">
        <v>-3223.47</v>
      </c>
      <c r="Q171" s="5">
        <v>0</v>
      </c>
    </row>
    <row r="172" spans="1:17" x14ac:dyDescent="0.35">
      <c r="A172" s="9">
        <v>44532.69636574074</v>
      </c>
      <c r="B172" s="4" t="s">
        <v>66</v>
      </c>
      <c r="C172" s="6">
        <v>13.2</v>
      </c>
      <c r="D172" s="10">
        <v>1.089999999999975</v>
      </c>
      <c r="E172" s="6">
        <v>14.38581999999967</v>
      </c>
      <c r="F172" s="11">
        <v>494.9778622</v>
      </c>
      <c r="G172" s="6">
        <v>11.836</v>
      </c>
      <c r="H172" s="6">
        <v>-1.4845799999999656</v>
      </c>
      <c r="I172" s="4">
        <v>1</v>
      </c>
      <c r="J172" s="9">
        <v>44551.441666666666</v>
      </c>
      <c r="K172" s="4">
        <v>9073.0593683590014</v>
      </c>
      <c r="L172" s="4">
        <v>5853.0547506815983</v>
      </c>
      <c r="M172" s="4" t="s">
        <v>9</v>
      </c>
      <c r="N172" s="6">
        <v>3.45</v>
      </c>
      <c r="O172" s="5">
        <v>0</v>
      </c>
      <c r="P172" s="6">
        <v>-3223.47</v>
      </c>
      <c r="Q172" s="5">
        <v>0</v>
      </c>
    </row>
    <row r="173" spans="1:17" x14ac:dyDescent="0.35">
      <c r="A173" s="9">
        <v>44534.024710648147</v>
      </c>
      <c r="B173" s="4" t="s">
        <v>66</v>
      </c>
      <c r="C173" s="6">
        <v>9.8800000000000008</v>
      </c>
      <c r="D173" s="10">
        <v>0.92000000000001592</v>
      </c>
      <c r="E173" s="6">
        <v>9.0877600000001575</v>
      </c>
      <c r="F173" s="11">
        <v>494.9778622</v>
      </c>
      <c r="G173" s="6">
        <v>11.836</v>
      </c>
      <c r="H173" s="6">
        <v>1.8013600000000309</v>
      </c>
      <c r="I173" s="4">
        <v>1</v>
      </c>
      <c r="J173" s="9">
        <v>44551.441666666666</v>
      </c>
      <c r="K173" s="4">
        <v>9073.0593683590014</v>
      </c>
      <c r="L173" s="4">
        <v>5853.0547506815983</v>
      </c>
      <c r="M173" s="4" t="s">
        <v>9</v>
      </c>
      <c r="N173" s="6">
        <v>3.45</v>
      </c>
      <c r="O173" s="5">
        <v>0</v>
      </c>
      <c r="P173" s="6">
        <v>-3223.47</v>
      </c>
      <c r="Q173" s="5">
        <v>0</v>
      </c>
    </row>
    <row r="174" spans="1:17" x14ac:dyDescent="0.35">
      <c r="A174" s="9">
        <v>44535.953819444447</v>
      </c>
      <c r="B174" s="4" t="s">
        <v>66</v>
      </c>
      <c r="C174" s="6">
        <v>11.66</v>
      </c>
      <c r="D174" s="10">
        <v>1.5199999999999818</v>
      </c>
      <c r="E174" s="6">
        <v>17.718639999999787</v>
      </c>
      <c r="F174" s="11">
        <v>494.9778622</v>
      </c>
      <c r="G174" s="6">
        <v>11.836</v>
      </c>
      <c r="H174" s="6">
        <v>0.27207999999999899</v>
      </c>
      <c r="I174" s="4">
        <v>1</v>
      </c>
      <c r="J174" s="9">
        <v>44551.441666666666</v>
      </c>
      <c r="K174" s="4">
        <v>9073.0593683590014</v>
      </c>
      <c r="L174" s="4">
        <v>5853.0547506815983</v>
      </c>
      <c r="M174" s="4" t="s">
        <v>9</v>
      </c>
      <c r="N174" s="6">
        <v>3.45</v>
      </c>
      <c r="O174" s="5">
        <v>0</v>
      </c>
      <c r="P174" s="6">
        <v>-3223.47</v>
      </c>
      <c r="Q174" s="5">
        <v>0</v>
      </c>
    </row>
    <row r="175" spans="1:17" x14ac:dyDescent="0.35">
      <c r="A175" s="9">
        <v>44536.756631944445</v>
      </c>
      <c r="B175" s="4" t="s">
        <v>66</v>
      </c>
      <c r="C175" s="6">
        <v>12.38</v>
      </c>
      <c r="D175" s="10">
        <v>0.48000000000001819</v>
      </c>
      <c r="E175" s="6">
        <v>5.9424000000002248</v>
      </c>
      <c r="F175" s="11">
        <v>494.9778622</v>
      </c>
      <c r="G175" s="6">
        <v>11.836</v>
      </c>
      <c r="H175" s="6">
        <v>-0.26112000000000979</v>
      </c>
      <c r="I175" s="4">
        <v>1</v>
      </c>
      <c r="J175" s="9">
        <v>44551.441666666666</v>
      </c>
      <c r="K175" s="4">
        <v>9073.0593683590014</v>
      </c>
      <c r="L175" s="4">
        <v>5853.0547506815983</v>
      </c>
      <c r="M175" s="4" t="s">
        <v>9</v>
      </c>
      <c r="N175" s="6">
        <v>3.45</v>
      </c>
      <c r="O175" s="5">
        <v>0</v>
      </c>
      <c r="P175" s="6">
        <v>-3223.47</v>
      </c>
      <c r="Q175" s="5">
        <v>0</v>
      </c>
    </row>
    <row r="176" spans="1:17" x14ac:dyDescent="0.35">
      <c r="A176" s="9">
        <v>44538.601956018516</v>
      </c>
      <c r="B176" s="4" t="s">
        <v>66</v>
      </c>
      <c r="C176" s="6">
        <v>12.23</v>
      </c>
      <c r="D176" s="10">
        <v>1.2899999999999636</v>
      </c>
      <c r="E176" s="6">
        <v>15.770249999999555</v>
      </c>
      <c r="F176" s="11">
        <v>494.9778622</v>
      </c>
      <c r="G176" s="6">
        <v>11.836</v>
      </c>
      <c r="H176" s="6">
        <v>-0.50180999999998477</v>
      </c>
      <c r="I176" s="4">
        <v>1</v>
      </c>
      <c r="J176" s="9">
        <v>44551.441666666666</v>
      </c>
      <c r="K176" s="4">
        <v>9073.0593683590014</v>
      </c>
      <c r="L176" s="4">
        <v>5853.0547506815983</v>
      </c>
      <c r="M176" s="4" t="s">
        <v>9</v>
      </c>
      <c r="N176" s="6">
        <v>3.45</v>
      </c>
      <c r="O176" s="5">
        <v>0</v>
      </c>
      <c r="P176" s="6">
        <v>-3223.47</v>
      </c>
      <c r="Q176" s="5">
        <v>0</v>
      </c>
    </row>
    <row r="177" spans="1:17" x14ac:dyDescent="0.35">
      <c r="A177" s="9">
        <v>44539.910266203704</v>
      </c>
      <c r="B177" s="4" t="s">
        <v>66</v>
      </c>
      <c r="C177" s="6">
        <v>11.57</v>
      </c>
      <c r="D177" s="10">
        <v>0.98000000000001819</v>
      </c>
      <c r="E177" s="6">
        <v>11.338600000000211</v>
      </c>
      <c r="F177" s="11">
        <v>494.9778622</v>
      </c>
      <c r="G177" s="6">
        <v>11.836</v>
      </c>
      <c r="H177" s="6">
        <v>0.26068000000000424</v>
      </c>
      <c r="I177" s="4">
        <v>1</v>
      </c>
      <c r="J177" s="9">
        <v>44551.441666666666</v>
      </c>
      <c r="K177" s="4">
        <v>9073.0593683590014</v>
      </c>
      <c r="L177" s="4">
        <v>5853.0547506815983</v>
      </c>
      <c r="M177" s="4" t="s">
        <v>9</v>
      </c>
      <c r="N177" s="6">
        <v>3.45</v>
      </c>
      <c r="O177" s="5">
        <v>0</v>
      </c>
      <c r="P177" s="6">
        <v>-3223.47</v>
      </c>
      <c r="Q177" s="5">
        <v>0</v>
      </c>
    </row>
    <row r="178" spans="1:17" x14ac:dyDescent="0.35">
      <c r="A178" s="9">
        <v>44541.740173611113</v>
      </c>
      <c r="B178" s="4" t="s">
        <v>66</v>
      </c>
      <c r="C178" s="6">
        <v>11.29</v>
      </c>
      <c r="D178" s="10">
        <v>1.3600000000000136</v>
      </c>
      <c r="E178" s="6">
        <v>15.347600000000154</v>
      </c>
      <c r="F178" s="11">
        <v>494.9778622</v>
      </c>
      <c r="G178" s="6">
        <v>11.836</v>
      </c>
      <c r="H178" s="6">
        <v>0.74936000000000824</v>
      </c>
      <c r="I178" s="4">
        <v>1</v>
      </c>
      <c r="J178" s="9">
        <v>44551.441666666666</v>
      </c>
      <c r="K178" s="4">
        <v>9073.0593683590014</v>
      </c>
      <c r="L178" s="4">
        <v>5853.0547506815983</v>
      </c>
      <c r="M178" s="4" t="s">
        <v>9</v>
      </c>
      <c r="N178" s="6">
        <v>3.45</v>
      </c>
      <c r="O178" s="5">
        <v>0</v>
      </c>
      <c r="P178" s="6">
        <v>-3223.47</v>
      </c>
      <c r="Q178" s="5">
        <v>0</v>
      </c>
    </row>
    <row r="179" spans="1:17" x14ac:dyDescent="0.35">
      <c r="A179" s="9">
        <v>44542.875451388885</v>
      </c>
      <c r="B179" s="4" t="s">
        <v>66</v>
      </c>
      <c r="C179" s="6">
        <v>11.79</v>
      </c>
      <c r="D179" s="10">
        <v>0.84999999999996589</v>
      </c>
      <c r="E179" s="6">
        <v>10.022349999999598</v>
      </c>
      <c r="F179" s="11">
        <v>494.9778622</v>
      </c>
      <c r="G179" s="6">
        <v>11.836</v>
      </c>
      <c r="H179" s="6">
        <v>3.8249999999997897E-2</v>
      </c>
      <c r="I179" s="4">
        <v>1</v>
      </c>
      <c r="J179" s="9">
        <v>44551.441666666666</v>
      </c>
      <c r="K179" s="4">
        <v>9073.0593683590014</v>
      </c>
      <c r="L179" s="4">
        <v>5853.0547506815983</v>
      </c>
      <c r="M179" s="4" t="s">
        <v>9</v>
      </c>
      <c r="N179" s="6">
        <v>3.45</v>
      </c>
      <c r="O179" s="5">
        <v>0</v>
      </c>
      <c r="P179" s="6">
        <v>-3223.47</v>
      </c>
      <c r="Q179" s="5">
        <v>0</v>
      </c>
    </row>
    <row r="180" spans="1:17" x14ac:dyDescent="0.35">
      <c r="A180" s="9">
        <v>44543.464953703704</v>
      </c>
      <c r="B180" s="4" t="s">
        <v>66</v>
      </c>
      <c r="C180" s="6">
        <v>11.08</v>
      </c>
      <c r="D180" s="10">
        <v>0.43000000000000682</v>
      </c>
      <c r="E180" s="6">
        <v>4.7635400000000754</v>
      </c>
      <c r="F180" s="11">
        <v>494.9778622</v>
      </c>
      <c r="G180" s="6">
        <v>11.836</v>
      </c>
      <c r="H180" s="6">
        <v>0.32594000000000545</v>
      </c>
      <c r="I180" s="4">
        <v>1</v>
      </c>
      <c r="J180" s="9">
        <v>44551.441666666666</v>
      </c>
      <c r="K180" s="4">
        <v>9073.0593683590014</v>
      </c>
      <c r="L180" s="4">
        <v>5853.0547506815983</v>
      </c>
      <c r="M180" s="4" t="s">
        <v>9</v>
      </c>
      <c r="N180" s="6">
        <v>3.45</v>
      </c>
      <c r="O180" s="5">
        <v>0</v>
      </c>
      <c r="P180" s="6">
        <v>-3223.47</v>
      </c>
      <c r="Q180" s="5">
        <v>0</v>
      </c>
    </row>
    <row r="181" spans="1:17" x14ac:dyDescent="0.35">
      <c r="A181" s="9">
        <v>44544.865300925929</v>
      </c>
      <c r="B181" s="4" t="s">
        <v>66</v>
      </c>
      <c r="C181" s="6">
        <v>12.73</v>
      </c>
      <c r="D181" s="10">
        <v>1</v>
      </c>
      <c r="E181" s="6">
        <v>12.731</v>
      </c>
      <c r="F181" s="11">
        <v>494.9778622</v>
      </c>
      <c r="G181" s="6">
        <v>11.836</v>
      </c>
      <c r="H181" s="6">
        <v>-0.89499999999999957</v>
      </c>
      <c r="I181" s="4">
        <v>1</v>
      </c>
      <c r="J181" s="9">
        <v>44551.441666666666</v>
      </c>
      <c r="K181" s="4">
        <v>9073.0593683590014</v>
      </c>
      <c r="L181" s="4">
        <v>5853.0547506815983</v>
      </c>
      <c r="M181" s="4" t="s">
        <v>9</v>
      </c>
      <c r="N181" s="6">
        <v>3.45</v>
      </c>
      <c r="O181" s="5">
        <v>0</v>
      </c>
      <c r="P181" s="6">
        <v>-3223.47</v>
      </c>
      <c r="Q181" s="5">
        <v>0</v>
      </c>
    </row>
    <row r="182" spans="1:17" x14ac:dyDescent="0.35">
      <c r="A182" s="9">
        <v>44545.879988425928</v>
      </c>
      <c r="B182" s="4" t="s">
        <v>66</v>
      </c>
      <c r="C182" s="6">
        <v>13.05</v>
      </c>
      <c r="D182" s="10">
        <v>0.71000000000003638</v>
      </c>
      <c r="E182" s="6">
        <v>9.2647900000004739</v>
      </c>
      <c r="F182" s="11">
        <v>494.9778622</v>
      </c>
      <c r="G182" s="6">
        <v>11.836</v>
      </c>
      <c r="H182" s="6">
        <v>-0.86123000000004346</v>
      </c>
      <c r="I182" s="4">
        <v>1</v>
      </c>
      <c r="J182" s="9">
        <v>44551.441666666666</v>
      </c>
      <c r="K182" s="4">
        <v>9073.0593683590014</v>
      </c>
      <c r="L182" s="4">
        <v>5853.0547506815983</v>
      </c>
      <c r="M182" s="4" t="s">
        <v>9</v>
      </c>
      <c r="N182" s="6">
        <v>3.45</v>
      </c>
      <c r="O182" s="5">
        <v>0</v>
      </c>
      <c r="P182" s="6">
        <v>-3223.47</v>
      </c>
      <c r="Q182" s="5">
        <v>0</v>
      </c>
    </row>
    <row r="183" spans="1:17" x14ac:dyDescent="0.35">
      <c r="A183" s="9">
        <v>44546.762962962966</v>
      </c>
      <c r="B183" s="4" t="s">
        <v>66</v>
      </c>
      <c r="C183" s="6">
        <v>12.72</v>
      </c>
      <c r="D183" s="10">
        <v>0.6099999999999568</v>
      </c>
      <c r="E183" s="6">
        <v>7.756759999999451</v>
      </c>
      <c r="F183" s="11">
        <v>494.9778622</v>
      </c>
      <c r="G183" s="6">
        <v>11.836</v>
      </c>
      <c r="H183" s="6">
        <v>-0.5367999999999622</v>
      </c>
      <c r="I183" s="4">
        <v>1</v>
      </c>
      <c r="J183" s="9">
        <v>44551.441666666666</v>
      </c>
      <c r="K183" s="4">
        <v>9073.0593683590014</v>
      </c>
      <c r="L183" s="4">
        <v>5853.0547506815983</v>
      </c>
      <c r="M183" s="4" t="s">
        <v>9</v>
      </c>
      <c r="N183" s="6">
        <v>3.45</v>
      </c>
      <c r="O183" s="5">
        <v>0</v>
      </c>
      <c r="P183" s="6">
        <v>-3223.47</v>
      </c>
      <c r="Q183" s="5">
        <v>0</v>
      </c>
    </row>
    <row r="184" spans="1:17" x14ac:dyDescent="0.35">
      <c r="A184" s="9">
        <v>44548.639548611114</v>
      </c>
      <c r="B184" s="4" t="s">
        <v>66</v>
      </c>
      <c r="C184" s="6">
        <v>12.59</v>
      </c>
      <c r="D184" s="10">
        <v>1.2900000000000205</v>
      </c>
      <c r="E184" s="6">
        <v>16.244970000000258</v>
      </c>
      <c r="F184" s="11">
        <v>494.9778622</v>
      </c>
      <c r="G184" s="6">
        <v>11.836</v>
      </c>
      <c r="H184" s="6">
        <v>-0.97653000000001455</v>
      </c>
      <c r="I184" s="4">
        <v>1</v>
      </c>
      <c r="J184" s="9">
        <v>44551.441666666666</v>
      </c>
      <c r="K184" s="4">
        <v>9073.0593683590014</v>
      </c>
      <c r="L184" s="4">
        <v>5853.0547506815983</v>
      </c>
      <c r="M184" s="4" t="s">
        <v>9</v>
      </c>
      <c r="N184" s="6">
        <v>3.45</v>
      </c>
      <c r="O184" s="5">
        <v>0</v>
      </c>
      <c r="P184" s="6">
        <v>-3223.47</v>
      </c>
      <c r="Q184" s="5">
        <v>0</v>
      </c>
    </row>
    <row r="185" spans="1:17" x14ac:dyDescent="0.35">
      <c r="A185" s="9">
        <v>44550.070798611108</v>
      </c>
      <c r="B185" s="4" t="s">
        <v>66</v>
      </c>
      <c r="C185" s="6">
        <v>12.27</v>
      </c>
      <c r="D185" s="10">
        <v>0.99000000000000909</v>
      </c>
      <c r="E185" s="6">
        <v>12.145320000000112</v>
      </c>
      <c r="F185" s="11">
        <v>494.9778622</v>
      </c>
      <c r="G185" s="6">
        <v>11.836</v>
      </c>
      <c r="H185" s="6">
        <v>-0.42768000000000406</v>
      </c>
      <c r="I185" s="4">
        <v>1</v>
      </c>
      <c r="J185" s="9">
        <v>44551.441666666666</v>
      </c>
      <c r="K185" s="4">
        <v>9073.0593683590014</v>
      </c>
      <c r="L185" s="4">
        <v>5853.0547506815983</v>
      </c>
      <c r="M185" s="4" t="s">
        <v>9</v>
      </c>
      <c r="N185" s="6">
        <v>3.45</v>
      </c>
      <c r="O185" s="5">
        <v>0</v>
      </c>
      <c r="P185" s="6">
        <v>-3223.47</v>
      </c>
      <c r="Q185" s="5">
        <v>0</v>
      </c>
    </row>
    <row r="186" spans="1:17" x14ac:dyDescent="0.35">
      <c r="A186" s="9">
        <v>44551.423877314817</v>
      </c>
      <c r="B186" s="4" t="s">
        <v>66</v>
      </c>
      <c r="C186" s="6">
        <v>11.86</v>
      </c>
      <c r="D186" s="10">
        <v>0.93000000000000682</v>
      </c>
      <c r="E186" s="6">
        <v>11.033520000000081</v>
      </c>
      <c r="F186" s="11">
        <v>494.9778622</v>
      </c>
      <c r="G186" s="6">
        <v>11.836</v>
      </c>
      <c r="H186" s="6">
        <v>-2.6040000000000063E-2</v>
      </c>
      <c r="I186" s="4">
        <v>1</v>
      </c>
      <c r="J186" s="9">
        <v>44551.441666666666</v>
      </c>
      <c r="K186" s="4">
        <v>9073.0593683590014</v>
      </c>
      <c r="L186" s="4">
        <v>5853.0547506815983</v>
      </c>
      <c r="M186" s="4" t="s">
        <v>9</v>
      </c>
      <c r="N186" s="6">
        <v>3.45</v>
      </c>
      <c r="O186" s="5">
        <v>0</v>
      </c>
      <c r="P186" s="6">
        <v>-3223.47</v>
      </c>
      <c r="Q186" s="5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7291F-E123-4272-9A4D-B7CA32A9674F}">
  <sheetPr codeName="Sheet46"/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44325.561805555553</v>
      </c>
      <c r="B5" s="4" t="s">
        <v>8</v>
      </c>
      <c r="C5" s="6">
        <v>0.21</v>
      </c>
      <c r="D5" s="10">
        <v>4491</v>
      </c>
      <c r="E5" s="6">
        <v>943.11</v>
      </c>
      <c r="F5" s="11">
        <v>4491</v>
      </c>
      <c r="G5" s="6">
        <v>0.08</v>
      </c>
      <c r="H5" s="6">
        <v>-583.82999999999993</v>
      </c>
      <c r="I5" s="4">
        <v>1</v>
      </c>
      <c r="J5" s="9">
        <v>44376.565972222219</v>
      </c>
      <c r="K5" s="4">
        <v>943.11</v>
      </c>
      <c r="L5" s="4">
        <v>359.28000000000003</v>
      </c>
      <c r="M5" s="4" t="s">
        <v>9</v>
      </c>
      <c r="N5" s="6">
        <v>0</v>
      </c>
      <c r="O5" s="5">
        <v>0</v>
      </c>
      <c r="P5" s="6">
        <v>-583.83000000000004</v>
      </c>
      <c r="Q5" s="5">
        <v>0</v>
      </c>
      <c r="T5" s="4">
        <v>1</v>
      </c>
      <c r="U5" s="9">
        <v>44376.565972222219</v>
      </c>
      <c r="V5" s="4">
        <v>4491</v>
      </c>
      <c r="W5" s="6">
        <v>0.08</v>
      </c>
      <c r="X5" s="4">
        <v>943.11</v>
      </c>
      <c r="Y5" s="4">
        <v>359.28000000000003</v>
      </c>
      <c r="Z5" s="6">
        <v>0</v>
      </c>
      <c r="AA5" s="4">
        <v>0</v>
      </c>
      <c r="AB5" s="6">
        <v>-583.83000000000004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0</v>
      </c>
      <c r="AL5">
        <v>0</v>
      </c>
      <c r="AM5">
        <v>-583.83000000000004</v>
      </c>
      <c r="AN5">
        <v>0</v>
      </c>
    </row>
    <row r="6" spans="1:40" x14ac:dyDescent="0.35"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F47F1-B660-4F77-80B5-FC824B4D4763}">
  <sheetPr codeName="Sheet45"/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44325.561111111114</v>
      </c>
      <c r="B5" s="4" t="s">
        <v>8</v>
      </c>
      <c r="C5" s="6">
        <v>0.94</v>
      </c>
      <c r="D5" s="10">
        <v>109.7</v>
      </c>
      <c r="E5" s="6">
        <v>103.11800000000001</v>
      </c>
      <c r="F5" s="11">
        <v>109.7</v>
      </c>
      <c r="G5" s="6">
        <v>2.17</v>
      </c>
      <c r="H5" s="6">
        <v>134.93099999999998</v>
      </c>
      <c r="I5" s="4">
        <v>1</v>
      </c>
      <c r="J5" s="9">
        <v>44335.48541666667</v>
      </c>
      <c r="K5" s="4">
        <v>103.11800000000001</v>
      </c>
      <c r="L5" s="4">
        <v>238.04900000000001</v>
      </c>
      <c r="M5" s="4" t="s">
        <v>9</v>
      </c>
      <c r="N5" s="6">
        <v>134.93</v>
      </c>
      <c r="O5" s="5">
        <v>0</v>
      </c>
      <c r="P5" s="6">
        <v>0</v>
      </c>
      <c r="Q5" s="5">
        <v>0</v>
      </c>
      <c r="T5" s="4">
        <v>1</v>
      </c>
      <c r="U5" s="9">
        <v>44335.48541666667</v>
      </c>
      <c r="V5" s="4">
        <v>109.7</v>
      </c>
      <c r="W5" s="6">
        <v>2.17</v>
      </c>
      <c r="X5" s="4">
        <v>103.11800000000001</v>
      </c>
      <c r="Y5" s="4">
        <v>238.04900000000001</v>
      </c>
      <c r="Z5" s="6">
        <v>134.93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1268.1300000000001</v>
      </c>
      <c r="AL5">
        <v>0</v>
      </c>
      <c r="AM5">
        <v>0</v>
      </c>
      <c r="AN5">
        <v>0</v>
      </c>
    </row>
    <row r="6" spans="1:40" x14ac:dyDescent="0.35">
      <c r="A6" s="9">
        <v>44325.561111111114</v>
      </c>
      <c r="B6" s="4" t="s">
        <v>8</v>
      </c>
      <c r="C6" s="6">
        <v>0.94</v>
      </c>
      <c r="D6" s="10">
        <v>921.3</v>
      </c>
      <c r="E6" s="6">
        <v>866.02199999999993</v>
      </c>
      <c r="F6" s="11">
        <v>921.3</v>
      </c>
      <c r="G6" s="6">
        <v>2.17</v>
      </c>
      <c r="H6" s="6">
        <v>1133.1989999999998</v>
      </c>
      <c r="I6" s="4">
        <v>2</v>
      </c>
      <c r="J6" s="9">
        <v>44335.48541666667</v>
      </c>
      <c r="K6" s="4">
        <v>866.02199999999993</v>
      </c>
      <c r="L6" s="4">
        <v>1999.2209999999998</v>
      </c>
      <c r="M6" s="4" t="s">
        <v>9</v>
      </c>
      <c r="N6" s="6">
        <v>1133.2</v>
      </c>
      <c r="O6" s="5">
        <v>0</v>
      </c>
      <c r="P6" s="6">
        <v>0</v>
      </c>
      <c r="Q6" s="5">
        <v>0</v>
      </c>
      <c r="T6" s="4">
        <v>2</v>
      </c>
      <c r="U6" s="8">
        <v>44335.48541666667</v>
      </c>
      <c r="V6" s="4">
        <v>921.3</v>
      </c>
      <c r="W6" s="6">
        <v>2.17</v>
      </c>
      <c r="X6" s="4">
        <v>866.02199999999993</v>
      </c>
      <c r="Y6" s="4">
        <v>1999.2209999999998</v>
      </c>
      <c r="Z6" s="6">
        <v>1133.2</v>
      </c>
      <c r="AA6" s="4">
        <v>0</v>
      </c>
      <c r="AB6" s="6">
        <v>0</v>
      </c>
      <c r="AC6" s="4">
        <v>0</v>
      </c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90725-CC14-4A40-A9C8-E1FAC84C94BC}">
  <sheetPr codeName="Sheet44"/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44325.549305555556</v>
      </c>
      <c r="B5" s="4" t="s">
        <v>8</v>
      </c>
      <c r="C5" s="6">
        <v>1.36</v>
      </c>
      <c r="D5" s="10">
        <v>735.03892900000005</v>
      </c>
      <c r="E5" s="6">
        <v>984.95216486000004</v>
      </c>
      <c r="F5" s="11">
        <v>735.03892900000005</v>
      </c>
      <c r="G5" s="6">
        <v>0.55000000000000004</v>
      </c>
      <c r="H5" s="6">
        <v>-580.68075391000002</v>
      </c>
      <c r="I5" s="4">
        <v>1</v>
      </c>
      <c r="J5" s="9">
        <v>44364.502083333333</v>
      </c>
      <c r="K5" s="4">
        <v>984.95216486000004</v>
      </c>
      <c r="L5" s="4">
        <v>404.27141095000007</v>
      </c>
      <c r="M5" s="4" t="s">
        <v>9</v>
      </c>
      <c r="N5" s="6">
        <v>0</v>
      </c>
      <c r="O5" s="5">
        <v>0</v>
      </c>
      <c r="P5" s="6">
        <v>-580.67999999999995</v>
      </c>
      <c r="Q5" s="5">
        <v>0</v>
      </c>
      <c r="T5" s="4">
        <v>1</v>
      </c>
      <c r="U5" s="9">
        <v>44364.502083333333</v>
      </c>
      <c r="V5" s="4">
        <v>735.03892900000005</v>
      </c>
      <c r="W5" s="6">
        <v>0.55000000000000004</v>
      </c>
      <c r="X5" s="4">
        <v>984.95216486000004</v>
      </c>
      <c r="Y5" s="4">
        <v>404.27141095000007</v>
      </c>
      <c r="Z5" s="6">
        <v>0</v>
      </c>
      <c r="AA5" s="4">
        <v>0</v>
      </c>
      <c r="AB5" s="6">
        <v>-580.67999999999995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0</v>
      </c>
      <c r="AL5">
        <v>0</v>
      </c>
      <c r="AM5">
        <v>-580.67999999999995</v>
      </c>
      <c r="AN5">
        <v>0</v>
      </c>
    </row>
    <row r="6" spans="1:40" x14ac:dyDescent="0.35"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1CB9E-DB0F-49EC-99B8-D5DF9E79D043}">
  <sheetPr codeName="Sheet43"/>
  <dimension ref="A3:AN8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44318.92083333333</v>
      </c>
      <c r="B5" s="4" t="s">
        <v>8</v>
      </c>
      <c r="C5" s="6">
        <v>3021.5</v>
      </c>
      <c r="D5" s="10">
        <v>0.13897799999999999</v>
      </c>
      <c r="E5" s="6">
        <v>419.92202699999996</v>
      </c>
      <c r="F5" s="11">
        <v>0.13897799999999999</v>
      </c>
      <c r="G5" s="6">
        <v>4177.34</v>
      </c>
      <c r="H5" s="6">
        <v>160.63633152</v>
      </c>
      <c r="I5" s="4">
        <v>1</v>
      </c>
      <c r="J5" s="9">
        <v>44326.71875</v>
      </c>
      <c r="K5" s="4">
        <v>419.92202699999996</v>
      </c>
      <c r="L5" s="4">
        <v>580.55835851999996</v>
      </c>
      <c r="M5" s="4" t="s">
        <v>9</v>
      </c>
      <c r="N5" s="6">
        <v>160.63999999999999</v>
      </c>
      <c r="O5" s="5">
        <v>0</v>
      </c>
      <c r="P5" s="6">
        <v>0</v>
      </c>
      <c r="Q5" s="5">
        <v>0</v>
      </c>
      <c r="T5" s="4">
        <v>1</v>
      </c>
      <c r="U5" s="9">
        <v>44326.71875</v>
      </c>
      <c r="V5" s="4">
        <v>0.13897799999999999</v>
      </c>
      <c r="W5" s="6">
        <v>4177.34</v>
      </c>
      <c r="X5" s="4">
        <v>419.92202699999996</v>
      </c>
      <c r="Y5" s="4">
        <v>580.55835851999996</v>
      </c>
      <c r="Z5" s="6">
        <v>160.63999999999999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160.63999999999999</v>
      </c>
      <c r="AL5">
        <v>0</v>
      </c>
      <c r="AM5">
        <v>-0.05</v>
      </c>
      <c r="AN5">
        <v>0</v>
      </c>
    </row>
    <row r="6" spans="1:40" x14ac:dyDescent="0.35">
      <c r="A6" s="9">
        <v>44560.5625</v>
      </c>
      <c r="B6" s="4" t="s">
        <v>8</v>
      </c>
      <c r="C6" s="6">
        <v>3750</v>
      </c>
      <c r="D6" s="10">
        <v>4.5000000000000005E-3</v>
      </c>
      <c r="E6" s="6">
        <v>16.875000000000004</v>
      </c>
      <c r="F6" s="11">
        <v>4.5000000000000005E-3</v>
      </c>
      <c r="G6" s="6">
        <v>3750</v>
      </c>
      <c r="H6" s="6">
        <v>0</v>
      </c>
      <c r="I6" s="4">
        <v>2</v>
      </c>
      <c r="J6" s="9">
        <v>44560.5625</v>
      </c>
      <c r="K6" s="6">
        <v>16.88</v>
      </c>
      <c r="L6" s="4">
        <v>16.875000000000004</v>
      </c>
      <c r="M6" s="4" t="s">
        <v>9</v>
      </c>
      <c r="N6" s="6">
        <v>0</v>
      </c>
      <c r="O6" s="5">
        <v>0</v>
      </c>
      <c r="P6" s="6">
        <v>0</v>
      </c>
      <c r="Q6" s="5">
        <v>0</v>
      </c>
      <c r="T6" s="4">
        <v>2</v>
      </c>
      <c r="U6" s="8">
        <v>44560.5625</v>
      </c>
      <c r="V6" s="4">
        <v>4.5000000000000005E-3</v>
      </c>
      <c r="W6" s="6">
        <v>3750</v>
      </c>
      <c r="X6" s="6">
        <v>16.88</v>
      </c>
      <c r="Y6" s="4">
        <v>16.875000000000004</v>
      </c>
      <c r="Z6" s="6">
        <v>0</v>
      </c>
      <c r="AA6" s="4">
        <v>0</v>
      </c>
      <c r="AB6" s="6">
        <v>0</v>
      </c>
      <c r="AC6" s="4">
        <v>0</v>
      </c>
      <c r="AE6" s="4">
        <v>2022</v>
      </c>
      <c r="AF6" s="4">
        <v>0</v>
      </c>
      <c r="AG6" s="6">
        <v>0</v>
      </c>
    </row>
    <row r="7" spans="1:40" x14ac:dyDescent="0.35">
      <c r="A7" s="9">
        <v>44560.5625</v>
      </c>
      <c r="B7" s="4" t="s">
        <v>8</v>
      </c>
      <c r="C7" s="6">
        <v>3750</v>
      </c>
      <c r="D7" s="10">
        <v>9.202231206E-3</v>
      </c>
      <c r="E7" s="6">
        <v>34.508367022500003</v>
      </c>
      <c r="F7" s="11">
        <v>9.202231206E-3</v>
      </c>
      <c r="G7" s="6">
        <v>3744.7440000000001</v>
      </c>
      <c r="H7" s="6">
        <v>-0.05</v>
      </c>
      <c r="I7" s="4">
        <v>3</v>
      </c>
      <c r="J7" s="9">
        <v>44560.5625</v>
      </c>
      <c r="K7" s="6">
        <v>34.51</v>
      </c>
      <c r="L7" s="4">
        <v>34.460000095281266</v>
      </c>
      <c r="M7" s="4" t="s">
        <v>9</v>
      </c>
      <c r="N7" s="6">
        <v>0</v>
      </c>
      <c r="O7" s="5">
        <v>0</v>
      </c>
      <c r="P7" s="6">
        <v>-0.05</v>
      </c>
      <c r="Q7" s="5">
        <v>0</v>
      </c>
      <c r="T7" s="4">
        <v>3</v>
      </c>
      <c r="U7" s="8">
        <v>44560.5625</v>
      </c>
      <c r="V7" s="4">
        <v>9.202231206E-3</v>
      </c>
      <c r="W7" s="6">
        <v>3744.74</v>
      </c>
      <c r="X7" s="6">
        <v>34.51</v>
      </c>
      <c r="Y7" s="4">
        <v>34.460000095281266</v>
      </c>
      <c r="Z7" s="6">
        <v>0</v>
      </c>
      <c r="AA7" s="4">
        <v>0</v>
      </c>
      <c r="AB7" s="6">
        <v>-0.05</v>
      </c>
      <c r="AC7" s="4">
        <v>0</v>
      </c>
    </row>
    <row r="8" spans="1:40" x14ac:dyDescent="0.35">
      <c r="A8" s="9">
        <v>44560.5625</v>
      </c>
      <c r="B8" s="4" t="s">
        <v>8</v>
      </c>
      <c r="C8" s="6">
        <v>3750</v>
      </c>
      <c r="D8" s="10">
        <v>1.8297768794E-2</v>
      </c>
      <c r="E8" s="6">
        <v>68.616632977500004</v>
      </c>
      <c r="F8" s="11"/>
      <c r="G8" s="6"/>
      <c r="H8" s="6"/>
      <c r="I8" s="4"/>
      <c r="J8" s="9"/>
      <c r="K8" s="4"/>
      <c r="L8" s="4"/>
      <c r="M8" s="4"/>
      <c r="N8" s="6"/>
      <c r="O8" s="4"/>
      <c r="P8" s="6"/>
      <c r="Q8" s="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4DDE2-8726-4983-B4E0-705DE6490D7E}">
  <sheetPr codeName="Sheet42"/>
  <dimension ref="A3:AN7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44313.887499999997</v>
      </c>
      <c r="B5" s="4" t="s">
        <v>8</v>
      </c>
      <c r="C5" s="6">
        <v>16.72</v>
      </c>
      <c r="D5" s="10">
        <v>17.93</v>
      </c>
      <c r="E5" s="6">
        <v>298.35519999999997</v>
      </c>
      <c r="F5" s="11">
        <v>51.59</v>
      </c>
      <c r="G5" s="6">
        <v>12.06</v>
      </c>
      <c r="H5" s="6">
        <v>-82.119399999999956</v>
      </c>
      <c r="I5" s="4">
        <v>1</v>
      </c>
      <c r="J5" s="9">
        <v>44376.565972222219</v>
      </c>
      <c r="K5" s="4">
        <v>861.48700000000008</v>
      </c>
      <c r="L5" s="4">
        <v>622.17540000000008</v>
      </c>
      <c r="M5" s="4" t="s">
        <v>9</v>
      </c>
      <c r="N5" s="6">
        <v>0</v>
      </c>
      <c r="O5" s="5">
        <v>0</v>
      </c>
      <c r="P5" s="6">
        <v>-239.31</v>
      </c>
      <c r="Q5" s="5">
        <v>0</v>
      </c>
      <c r="T5" s="4">
        <v>1</v>
      </c>
      <c r="U5" s="9">
        <v>44376.565972222219</v>
      </c>
      <c r="V5" s="4">
        <v>51.59</v>
      </c>
      <c r="W5" s="6">
        <v>12.06</v>
      </c>
      <c r="X5" s="4">
        <v>861.48700000000008</v>
      </c>
      <c r="Y5" s="4">
        <v>622.17540000000008</v>
      </c>
      <c r="Z5" s="6">
        <v>0</v>
      </c>
      <c r="AA5" s="4">
        <v>0</v>
      </c>
      <c r="AB5" s="6">
        <v>-239.31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0</v>
      </c>
      <c r="AL5">
        <v>0</v>
      </c>
      <c r="AM5">
        <v>-239.31</v>
      </c>
      <c r="AN5">
        <v>0</v>
      </c>
    </row>
    <row r="6" spans="1:40" x14ac:dyDescent="0.35">
      <c r="A6" s="9">
        <v>44313.890277777777</v>
      </c>
      <c r="B6" s="4" t="s">
        <v>8</v>
      </c>
      <c r="C6" s="6">
        <v>16.73</v>
      </c>
      <c r="D6" s="10">
        <v>33.660000000000004</v>
      </c>
      <c r="E6" s="6">
        <v>563.13180000000011</v>
      </c>
      <c r="F6" s="11">
        <v>51.59</v>
      </c>
      <c r="G6" s="6">
        <v>12.06</v>
      </c>
      <c r="H6" s="6">
        <v>-157.19220000000007</v>
      </c>
      <c r="I6" s="4">
        <v>1</v>
      </c>
      <c r="J6" s="9">
        <v>44376.565972222219</v>
      </c>
      <c r="K6" s="4">
        <v>861.48700000000008</v>
      </c>
      <c r="L6" s="4">
        <v>622.17540000000008</v>
      </c>
      <c r="M6" s="4" t="s">
        <v>9</v>
      </c>
      <c r="N6" s="6">
        <v>0</v>
      </c>
      <c r="O6" s="5">
        <v>0</v>
      </c>
      <c r="P6" s="6">
        <v>-239.31</v>
      </c>
      <c r="Q6" s="5">
        <v>0</v>
      </c>
      <c r="AE6" s="4">
        <v>2022</v>
      </c>
      <c r="AF6" s="4">
        <v>0</v>
      </c>
      <c r="AG6" s="6">
        <v>0</v>
      </c>
    </row>
    <row r="7" spans="1:40" x14ac:dyDescent="0.35">
      <c r="A7" s="9">
        <v>44313.890277777777</v>
      </c>
      <c r="B7" s="4" t="s">
        <v>8</v>
      </c>
      <c r="C7" s="6">
        <v>16.73</v>
      </c>
      <c r="D7" s="10">
        <v>1.0499999999999972</v>
      </c>
      <c r="E7" s="6">
        <v>17.566499999999952</v>
      </c>
      <c r="F7" s="11"/>
      <c r="G7" s="6"/>
      <c r="H7" s="6"/>
      <c r="I7" s="4"/>
      <c r="J7" s="9"/>
      <c r="K7" s="4"/>
      <c r="L7" s="4"/>
      <c r="M7" s="4"/>
      <c r="N7" s="6"/>
      <c r="O7" s="4"/>
      <c r="P7" s="6"/>
      <c r="Q7" s="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06B67-C34E-412A-A195-D7F9E1E8B831}">
  <sheetPr codeName="Sheet41"/>
  <dimension ref="A3:AN73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44313.886805555558</v>
      </c>
      <c r="B5" s="4" t="s">
        <v>8</v>
      </c>
      <c r="C5" s="6">
        <v>574.82000000000005</v>
      </c>
      <c r="D5" s="10">
        <v>0.52</v>
      </c>
      <c r="E5" s="6">
        <v>298.50080000000003</v>
      </c>
      <c r="F5" s="11">
        <v>1.04</v>
      </c>
      <c r="G5" s="6">
        <v>561.54999999999995</v>
      </c>
      <c r="H5" s="6">
        <v>-6.4948000000000548</v>
      </c>
      <c r="I5" s="4">
        <v>1</v>
      </c>
      <c r="J5" s="9">
        <v>44313.888888888891</v>
      </c>
      <c r="K5" s="4">
        <v>597.00160000000005</v>
      </c>
      <c r="L5" s="4">
        <v>584.01199999999994</v>
      </c>
      <c r="M5" s="4" t="s">
        <v>9</v>
      </c>
      <c r="N5" s="6">
        <v>0</v>
      </c>
      <c r="O5" s="5">
        <v>0</v>
      </c>
      <c r="P5" s="6">
        <v>-12.98</v>
      </c>
      <c r="Q5" s="5">
        <v>0</v>
      </c>
      <c r="T5" s="4">
        <v>1</v>
      </c>
      <c r="U5" s="9">
        <v>44313.888888888891</v>
      </c>
      <c r="V5" s="4">
        <v>1.04</v>
      </c>
      <c r="W5" s="6">
        <v>561.54999999999995</v>
      </c>
      <c r="X5" s="4">
        <v>597.00160000000005</v>
      </c>
      <c r="Y5" s="4">
        <v>584.01199999999994</v>
      </c>
      <c r="Z5" s="6">
        <v>0</v>
      </c>
      <c r="AA5" s="4">
        <v>0</v>
      </c>
      <c r="AB5" s="6">
        <v>-12.98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629.66000000000008</v>
      </c>
      <c r="AL5">
        <v>0</v>
      </c>
      <c r="AM5">
        <v>-265.29000000000002</v>
      </c>
      <c r="AN5">
        <v>0</v>
      </c>
    </row>
    <row r="6" spans="1:40" x14ac:dyDescent="0.35">
      <c r="A6" s="9">
        <v>44313.886805555558</v>
      </c>
      <c r="B6" s="4" t="s">
        <v>8</v>
      </c>
      <c r="C6" s="6">
        <v>574.82000000000005</v>
      </c>
      <c r="D6" s="10">
        <v>0.52</v>
      </c>
      <c r="E6" s="6">
        <v>298.50080000000003</v>
      </c>
      <c r="F6" s="11">
        <v>1.04</v>
      </c>
      <c r="G6" s="6">
        <v>561.54999999999995</v>
      </c>
      <c r="H6" s="6">
        <v>-6.4948000000000548</v>
      </c>
      <c r="I6" s="4">
        <v>1</v>
      </c>
      <c r="J6" s="9">
        <v>44313.888888888891</v>
      </c>
      <c r="K6" s="4">
        <v>597.00160000000005</v>
      </c>
      <c r="L6" s="4">
        <v>584.01199999999994</v>
      </c>
      <c r="M6" s="4" t="s">
        <v>9</v>
      </c>
      <c r="N6" s="6">
        <v>0</v>
      </c>
      <c r="O6" s="5">
        <v>0</v>
      </c>
      <c r="P6" s="6">
        <v>-12.98</v>
      </c>
      <c r="Q6" s="5">
        <v>0</v>
      </c>
      <c r="T6" s="4">
        <v>2</v>
      </c>
      <c r="U6" s="8">
        <v>44335.411111111112</v>
      </c>
      <c r="V6" s="4">
        <v>2.1600999999999999E-3</v>
      </c>
      <c r="W6" s="6">
        <v>354.78</v>
      </c>
      <c r="X6" s="6">
        <v>0.93</v>
      </c>
      <c r="Y6" s="4">
        <v>0.76636027799999984</v>
      </c>
      <c r="Z6" s="6">
        <v>0</v>
      </c>
      <c r="AA6" s="4">
        <v>0</v>
      </c>
      <c r="AB6" s="6">
        <v>-0.16</v>
      </c>
      <c r="AC6" s="4">
        <v>0</v>
      </c>
      <c r="AE6" s="4">
        <v>2022</v>
      </c>
      <c r="AF6" s="4">
        <v>0</v>
      </c>
      <c r="AG6" s="6">
        <v>0</v>
      </c>
      <c r="AI6">
        <v>2022</v>
      </c>
      <c r="AJ6" s="7">
        <v>0</v>
      </c>
      <c r="AK6">
        <v>0.01</v>
      </c>
      <c r="AL6">
        <v>0</v>
      </c>
      <c r="AM6">
        <v>-1231.58</v>
      </c>
      <c r="AN6">
        <v>0</v>
      </c>
    </row>
    <row r="7" spans="1:40" x14ac:dyDescent="0.35">
      <c r="A7" s="9">
        <v>44335.243055555555</v>
      </c>
      <c r="B7" s="4" t="s">
        <v>8</v>
      </c>
      <c r="C7" s="6">
        <v>431.03</v>
      </c>
      <c r="D7" s="10">
        <v>2.1600999999999999E-3</v>
      </c>
      <c r="E7" s="6">
        <v>0.93106790299999997</v>
      </c>
      <c r="F7" s="11">
        <v>2.1600999999999999E-3</v>
      </c>
      <c r="G7" s="6">
        <v>354.78</v>
      </c>
      <c r="H7" s="6">
        <v>-0.16</v>
      </c>
      <c r="I7" s="4">
        <v>2</v>
      </c>
      <c r="J7" s="9">
        <v>44335.411111111112</v>
      </c>
      <c r="K7" s="6">
        <v>0.93</v>
      </c>
      <c r="L7" s="4">
        <v>0.76636027799999984</v>
      </c>
      <c r="M7" s="4" t="s">
        <v>9</v>
      </c>
      <c r="N7" s="6">
        <v>0</v>
      </c>
      <c r="O7" s="5">
        <v>0</v>
      </c>
      <c r="P7" s="6">
        <v>-0.16</v>
      </c>
      <c r="Q7" s="5">
        <v>0</v>
      </c>
      <c r="T7" s="4">
        <v>3</v>
      </c>
      <c r="U7" s="8">
        <v>44335.48541666667</v>
      </c>
      <c r="V7" s="4">
        <v>4.7919999999999999E-4</v>
      </c>
      <c r="W7" s="6">
        <v>373.47</v>
      </c>
      <c r="X7" s="6">
        <v>0.21</v>
      </c>
      <c r="Y7" s="4">
        <v>0.178966824</v>
      </c>
      <c r="Z7" s="6">
        <v>0</v>
      </c>
      <c r="AA7" s="4">
        <v>0</v>
      </c>
      <c r="AB7" s="6">
        <v>-0.03</v>
      </c>
      <c r="AC7" s="4">
        <v>0</v>
      </c>
    </row>
    <row r="8" spans="1:40" x14ac:dyDescent="0.35">
      <c r="A8" s="9">
        <v>44335.243055555555</v>
      </c>
      <c r="B8" s="4" t="s">
        <v>8</v>
      </c>
      <c r="C8" s="6">
        <v>431.03</v>
      </c>
      <c r="D8" s="10">
        <v>4.7919999999999999E-4</v>
      </c>
      <c r="E8" s="6">
        <v>0.20654957599999998</v>
      </c>
      <c r="F8" s="11">
        <v>4.7919999999999999E-4</v>
      </c>
      <c r="G8" s="6">
        <v>373.47</v>
      </c>
      <c r="H8" s="6">
        <v>-0.03</v>
      </c>
      <c r="I8" s="4">
        <v>3</v>
      </c>
      <c r="J8" s="9">
        <v>44335.48541666667</v>
      </c>
      <c r="K8" s="6">
        <v>0.21</v>
      </c>
      <c r="L8" s="4">
        <v>0.178966824</v>
      </c>
      <c r="M8" s="4" t="s">
        <v>9</v>
      </c>
      <c r="N8" s="6">
        <v>0</v>
      </c>
      <c r="O8" s="5">
        <v>0</v>
      </c>
      <c r="P8" s="6">
        <v>-0.03</v>
      </c>
      <c r="Q8" s="5">
        <v>0</v>
      </c>
      <c r="T8" s="4">
        <v>4</v>
      </c>
      <c r="U8" s="8">
        <v>44335.48541666667</v>
      </c>
      <c r="V8" s="4">
        <v>4.0276000000000001E-3</v>
      </c>
      <c r="W8" s="6">
        <v>373.47</v>
      </c>
      <c r="X8" s="6">
        <v>1.74</v>
      </c>
      <c r="Y8" s="4">
        <v>1.5041877720000001</v>
      </c>
      <c r="Z8" s="6">
        <v>0</v>
      </c>
      <c r="AA8" s="4">
        <v>0</v>
      </c>
      <c r="AB8" s="6">
        <v>-0.23</v>
      </c>
      <c r="AC8" s="4">
        <v>0</v>
      </c>
    </row>
    <row r="9" spans="1:40" x14ac:dyDescent="0.35">
      <c r="A9" s="9">
        <v>44335.243055555555</v>
      </c>
      <c r="B9" s="4" t="s">
        <v>8</v>
      </c>
      <c r="C9" s="6">
        <v>431.03</v>
      </c>
      <c r="D9" s="10">
        <v>4.0276000000000001E-3</v>
      </c>
      <c r="E9" s="6">
        <v>1.7360164280000001</v>
      </c>
      <c r="F9" s="11">
        <v>4.0276000000000001E-3</v>
      </c>
      <c r="G9" s="6">
        <v>373.47</v>
      </c>
      <c r="H9" s="6">
        <v>-0.23</v>
      </c>
      <c r="I9" s="4">
        <v>4</v>
      </c>
      <c r="J9" s="9">
        <v>44335.48541666667</v>
      </c>
      <c r="K9" s="6">
        <v>1.74</v>
      </c>
      <c r="L9" s="4">
        <v>1.5041877720000001</v>
      </c>
      <c r="M9" s="4" t="s">
        <v>9</v>
      </c>
      <c r="N9" s="6">
        <v>0</v>
      </c>
      <c r="O9" s="5">
        <v>0</v>
      </c>
      <c r="P9" s="6">
        <v>-0.23</v>
      </c>
      <c r="Q9" s="5">
        <v>0</v>
      </c>
      <c r="T9" s="4">
        <v>5</v>
      </c>
      <c r="U9" s="8">
        <v>44335.545138888891</v>
      </c>
      <c r="V9" s="4">
        <v>7.4999999999999993E-5</v>
      </c>
      <c r="W9" s="6">
        <v>401.55</v>
      </c>
      <c r="X9" s="6">
        <v>0.03</v>
      </c>
      <c r="Y9" s="4">
        <v>3.0116249999999997E-2</v>
      </c>
      <c r="Z9" s="6">
        <v>0</v>
      </c>
      <c r="AA9" s="4">
        <v>0</v>
      </c>
      <c r="AB9" s="6">
        <v>0</v>
      </c>
      <c r="AC9" s="4">
        <v>0</v>
      </c>
    </row>
    <row r="10" spans="1:40" x14ac:dyDescent="0.35">
      <c r="A10" s="9">
        <v>44335.243055555555</v>
      </c>
      <c r="B10" s="4" t="s">
        <v>8</v>
      </c>
      <c r="C10" s="6">
        <v>431.03</v>
      </c>
      <c r="D10" s="10">
        <v>7.4999999999999993E-5</v>
      </c>
      <c r="E10" s="6">
        <v>3.2327249999999995E-2</v>
      </c>
      <c r="F10" s="11">
        <v>7.4999999999999993E-5</v>
      </c>
      <c r="G10" s="6">
        <v>401.55</v>
      </c>
      <c r="H10" s="6">
        <v>0</v>
      </c>
      <c r="I10" s="4">
        <v>5</v>
      </c>
      <c r="J10" s="9">
        <v>44335.545138888891</v>
      </c>
      <c r="K10" s="6">
        <v>0.03</v>
      </c>
      <c r="L10" s="4">
        <v>3.0116249999999997E-2</v>
      </c>
      <c r="M10" s="4" t="s">
        <v>9</v>
      </c>
      <c r="N10" s="6">
        <v>0</v>
      </c>
      <c r="O10" s="5">
        <v>0</v>
      </c>
      <c r="P10" s="6">
        <v>0</v>
      </c>
      <c r="Q10" s="5">
        <v>0</v>
      </c>
      <c r="T10" s="4">
        <v>6</v>
      </c>
      <c r="U10" s="8">
        <v>44335.546527777777</v>
      </c>
      <c r="V10" s="4">
        <v>7.4999999999999993E-5</v>
      </c>
      <c r="W10" s="6">
        <v>401.92</v>
      </c>
      <c r="X10" s="6">
        <v>0.03</v>
      </c>
      <c r="Y10" s="4">
        <v>3.0143999999999997E-2</v>
      </c>
      <c r="Z10" s="6">
        <v>0</v>
      </c>
      <c r="AA10" s="4">
        <v>0</v>
      </c>
      <c r="AB10" s="6">
        <v>0</v>
      </c>
      <c r="AC10" s="4">
        <v>0</v>
      </c>
    </row>
    <row r="11" spans="1:40" x14ac:dyDescent="0.35">
      <c r="A11" s="9">
        <v>44335.243055555555</v>
      </c>
      <c r="B11" s="4" t="s">
        <v>8</v>
      </c>
      <c r="C11" s="6">
        <v>431.03</v>
      </c>
      <c r="D11" s="10">
        <v>7.4999999999999993E-5</v>
      </c>
      <c r="E11" s="6">
        <v>3.2327249999999995E-2</v>
      </c>
      <c r="F11" s="11">
        <v>7.4999999999999993E-5</v>
      </c>
      <c r="G11" s="6">
        <v>401.92</v>
      </c>
      <c r="H11" s="6">
        <v>0</v>
      </c>
      <c r="I11" s="4">
        <v>6</v>
      </c>
      <c r="J11" s="9">
        <v>44335.546527777777</v>
      </c>
      <c r="K11" s="6">
        <v>0.03</v>
      </c>
      <c r="L11" s="4">
        <v>3.0143999999999997E-2</v>
      </c>
      <c r="M11" s="4" t="s">
        <v>9</v>
      </c>
      <c r="N11" s="6">
        <v>0</v>
      </c>
      <c r="O11" s="5">
        <v>0</v>
      </c>
      <c r="P11" s="6">
        <v>0</v>
      </c>
      <c r="Q11" s="5">
        <v>0</v>
      </c>
      <c r="T11" s="4">
        <v>7</v>
      </c>
      <c r="U11" s="8">
        <v>44335.558333333334</v>
      </c>
      <c r="V11" s="4">
        <v>2.1180999999999999E-3</v>
      </c>
      <c r="W11" s="6">
        <v>407.84</v>
      </c>
      <c r="X11" s="6">
        <v>0.91</v>
      </c>
      <c r="Y11" s="4">
        <v>0.86384590399999994</v>
      </c>
      <c r="Z11" s="6">
        <v>0</v>
      </c>
      <c r="AA11" s="4">
        <v>0</v>
      </c>
      <c r="AB11" s="6">
        <v>-0.05</v>
      </c>
      <c r="AC11" s="4">
        <v>0</v>
      </c>
    </row>
    <row r="12" spans="1:40" x14ac:dyDescent="0.35">
      <c r="A12" s="9">
        <v>44335.243055555555</v>
      </c>
      <c r="B12" s="4" t="s">
        <v>8</v>
      </c>
      <c r="C12" s="6">
        <v>431.03</v>
      </c>
      <c r="D12" s="10">
        <v>2.1180999999999999E-3</v>
      </c>
      <c r="E12" s="6">
        <v>0.91296464300000002</v>
      </c>
      <c r="F12" s="11">
        <v>2.1180999999999999E-3</v>
      </c>
      <c r="G12" s="6">
        <v>407.84</v>
      </c>
      <c r="H12" s="6">
        <v>-0.05</v>
      </c>
      <c r="I12" s="4">
        <v>7</v>
      </c>
      <c r="J12" s="9">
        <v>44335.558333333334</v>
      </c>
      <c r="K12" s="6">
        <v>0.91</v>
      </c>
      <c r="L12" s="4">
        <v>0.86384590399999994</v>
      </c>
      <c r="M12" s="4" t="s">
        <v>9</v>
      </c>
      <c r="N12" s="6">
        <v>0</v>
      </c>
      <c r="O12" s="5">
        <v>0</v>
      </c>
      <c r="P12" s="6">
        <v>-0.05</v>
      </c>
      <c r="Q12" s="5">
        <v>0</v>
      </c>
      <c r="T12" s="4">
        <v>8</v>
      </c>
      <c r="U12" s="8">
        <v>44335.55972222222</v>
      </c>
      <c r="V12" s="4">
        <v>3.7875000000000001</v>
      </c>
      <c r="W12" s="6">
        <v>404.61</v>
      </c>
      <c r="X12" s="6">
        <v>1581.38</v>
      </c>
      <c r="Y12" s="4">
        <v>1532.4603750000001</v>
      </c>
      <c r="Z12" s="6">
        <v>12.14</v>
      </c>
      <c r="AA12" s="4">
        <v>0</v>
      </c>
      <c r="AB12" s="6">
        <v>-61.06</v>
      </c>
      <c r="AC12" s="4">
        <v>0</v>
      </c>
    </row>
    <row r="13" spans="1:40" x14ac:dyDescent="0.35">
      <c r="A13" s="9">
        <v>44335.243055555555</v>
      </c>
      <c r="B13" s="4" t="s">
        <v>8</v>
      </c>
      <c r="C13" s="6">
        <v>431.03</v>
      </c>
      <c r="D13" s="10">
        <v>2.3110649999999997</v>
      </c>
      <c r="E13" s="6">
        <v>996.13834694999991</v>
      </c>
      <c r="F13" s="11">
        <v>3.7875000000000001</v>
      </c>
      <c r="G13" s="6">
        <v>404.61</v>
      </c>
      <c r="H13" s="6">
        <v>-61.06</v>
      </c>
      <c r="I13" s="4">
        <v>8</v>
      </c>
      <c r="J13" s="9">
        <v>44335.55972222222</v>
      </c>
      <c r="K13" s="6">
        <v>1581.38</v>
      </c>
      <c r="L13" s="4">
        <v>1532.4603750000001</v>
      </c>
      <c r="M13" s="4" t="s">
        <v>9</v>
      </c>
      <c r="N13" s="6">
        <v>12.14</v>
      </c>
      <c r="O13" s="5">
        <v>0</v>
      </c>
      <c r="P13" s="6">
        <v>-61.06</v>
      </c>
      <c r="Q13" s="5">
        <v>0</v>
      </c>
      <c r="T13" s="4">
        <v>9</v>
      </c>
      <c r="U13" s="8">
        <v>44335.55972222222</v>
      </c>
      <c r="V13" s="4">
        <v>6.514E-4</v>
      </c>
      <c r="W13" s="6">
        <v>404.61</v>
      </c>
      <c r="X13" s="6">
        <v>0.26</v>
      </c>
      <c r="Y13" s="4">
        <v>0.26356295400000002</v>
      </c>
      <c r="Z13" s="6">
        <v>0.01</v>
      </c>
      <c r="AA13" s="4">
        <v>0</v>
      </c>
      <c r="AB13" s="6">
        <v>0</v>
      </c>
      <c r="AC13" s="4">
        <v>0</v>
      </c>
    </row>
    <row r="14" spans="1:40" x14ac:dyDescent="0.35">
      <c r="A14" s="9">
        <v>44335.68472222222</v>
      </c>
      <c r="B14" s="4" t="s">
        <v>8</v>
      </c>
      <c r="C14" s="6">
        <v>396.39</v>
      </c>
      <c r="D14" s="10">
        <v>1.4764350000000004</v>
      </c>
      <c r="E14" s="6">
        <v>585.24406965000014</v>
      </c>
      <c r="F14" s="11">
        <v>3.7875000000000001</v>
      </c>
      <c r="G14" s="6">
        <v>404.61</v>
      </c>
      <c r="H14" s="6">
        <v>12.14</v>
      </c>
      <c r="I14" s="4">
        <v>8</v>
      </c>
      <c r="J14" s="9">
        <v>44335.55972222222</v>
      </c>
      <c r="K14" s="6">
        <v>1581.38</v>
      </c>
      <c r="L14" s="4">
        <v>1532.4603750000001</v>
      </c>
      <c r="M14" s="4" t="s">
        <v>9</v>
      </c>
      <c r="N14" s="6">
        <v>12.14</v>
      </c>
      <c r="O14" s="5">
        <v>0</v>
      </c>
      <c r="P14" s="6">
        <v>-61.06</v>
      </c>
      <c r="Q14" s="5">
        <v>0</v>
      </c>
      <c r="T14" s="4">
        <v>10</v>
      </c>
      <c r="U14" s="8">
        <v>44335.560416666667</v>
      </c>
      <c r="V14" s="4">
        <v>2.2220000000000001E-4</v>
      </c>
      <c r="W14" s="6">
        <v>408</v>
      </c>
      <c r="X14" s="6">
        <v>0.09</v>
      </c>
      <c r="Y14" s="4">
        <v>9.0657600000000005E-2</v>
      </c>
      <c r="Z14" s="6">
        <v>0</v>
      </c>
      <c r="AA14" s="4">
        <v>0</v>
      </c>
      <c r="AB14" s="6">
        <v>0</v>
      </c>
      <c r="AC14" s="4">
        <v>0</v>
      </c>
    </row>
    <row r="15" spans="1:40" x14ac:dyDescent="0.35">
      <c r="A15" s="9">
        <v>44335.68472222222</v>
      </c>
      <c r="B15" s="4" t="s">
        <v>8</v>
      </c>
      <c r="C15" s="6">
        <v>396.39</v>
      </c>
      <c r="D15" s="10">
        <v>6.514E-4</v>
      </c>
      <c r="E15" s="6">
        <v>0.25820844599999998</v>
      </c>
      <c r="F15" s="11">
        <v>6.514E-4</v>
      </c>
      <c r="G15" s="6">
        <v>404.61</v>
      </c>
      <c r="H15" s="6">
        <v>0.01</v>
      </c>
      <c r="I15" s="4">
        <v>9</v>
      </c>
      <c r="J15" s="9">
        <v>44335.55972222222</v>
      </c>
      <c r="K15" s="6">
        <v>0.26</v>
      </c>
      <c r="L15" s="4">
        <v>0.26356295400000002</v>
      </c>
      <c r="M15" s="4" t="s">
        <v>9</v>
      </c>
      <c r="N15" s="6">
        <v>0.01</v>
      </c>
      <c r="O15" s="5">
        <v>0</v>
      </c>
      <c r="P15" s="6">
        <v>0</v>
      </c>
      <c r="Q15" s="5">
        <v>0</v>
      </c>
      <c r="T15" s="4">
        <v>11</v>
      </c>
      <c r="U15" s="8">
        <v>44335.581250000003</v>
      </c>
      <c r="V15" s="4">
        <v>2.221E-4</v>
      </c>
      <c r="W15" s="6">
        <v>396.51</v>
      </c>
      <c r="X15" s="6">
        <v>0.09</v>
      </c>
      <c r="Y15" s="4">
        <v>8.8064871000000003E-2</v>
      </c>
      <c r="Z15" s="6">
        <v>0</v>
      </c>
      <c r="AA15" s="4">
        <v>0</v>
      </c>
      <c r="AB15" s="6">
        <v>0</v>
      </c>
      <c r="AC15" s="4">
        <v>0</v>
      </c>
    </row>
    <row r="16" spans="1:40" x14ac:dyDescent="0.35">
      <c r="A16" s="9">
        <v>44335.68472222222</v>
      </c>
      <c r="B16" s="4" t="s">
        <v>8</v>
      </c>
      <c r="C16" s="6">
        <v>396.39</v>
      </c>
      <c r="D16" s="10">
        <v>2.2220000000000001E-4</v>
      </c>
      <c r="E16" s="6">
        <v>8.8077858000000009E-2</v>
      </c>
      <c r="F16" s="11">
        <v>2.2220000000000001E-4</v>
      </c>
      <c r="G16" s="6">
        <v>408</v>
      </c>
      <c r="H16" s="6">
        <v>0</v>
      </c>
      <c r="I16" s="4">
        <v>10</v>
      </c>
      <c r="J16" s="9">
        <v>44335.560416666667</v>
      </c>
      <c r="K16" s="6">
        <v>0.09</v>
      </c>
      <c r="L16" s="4">
        <v>9.0657600000000005E-2</v>
      </c>
      <c r="M16" s="4" t="s">
        <v>9</v>
      </c>
      <c r="N16" s="6">
        <v>0</v>
      </c>
      <c r="O16" s="5">
        <v>0</v>
      </c>
      <c r="P16" s="6">
        <v>0</v>
      </c>
      <c r="Q16" s="5">
        <v>0</v>
      </c>
      <c r="T16" s="4">
        <v>12</v>
      </c>
      <c r="U16" s="8">
        <v>44335.582638888889</v>
      </c>
      <c r="V16" s="4">
        <v>2.221E-4</v>
      </c>
      <c r="W16" s="6">
        <v>395.59</v>
      </c>
      <c r="X16" s="6">
        <v>0.09</v>
      </c>
      <c r="Y16" s="4">
        <v>8.7860539000000001E-2</v>
      </c>
      <c r="Z16" s="6">
        <v>0</v>
      </c>
      <c r="AA16" s="4">
        <v>0</v>
      </c>
      <c r="AB16" s="6">
        <v>0</v>
      </c>
      <c r="AC16" s="4">
        <v>0</v>
      </c>
    </row>
    <row r="17" spans="1:29" x14ac:dyDescent="0.35">
      <c r="A17" s="9">
        <v>44335.68472222222</v>
      </c>
      <c r="B17" s="4" t="s">
        <v>8</v>
      </c>
      <c r="C17" s="6">
        <v>396.39</v>
      </c>
      <c r="D17" s="10">
        <v>2.221E-4</v>
      </c>
      <c r="E17" s="6">
        <v>8.8038219000000001E-2</v>
      </c>
      <c r="F17" s="11">
        <v>2.221E-4</v>
      </c>
      <c r="G17" s="6">
        <v>396.51</v>
      </c>
      <c r="H17" s="6">
        <v>0</v>
      </c>
      <c r="I17" s="4">
        <v>11</v>
      </c>
      <c r="J17" s="9">
        <v>44335.581250000003</v>
      </c>
      <c r="K17" s="6">
        <v>0.09</v>
      </c>
      <c r="L17" s="4">
        <v>8.8064871000000003E-2</v>
      </c>
      <c r="M17" s="4" t="s">
        <v>9</v>
      </c>
      <c r="N17" s="6">
        <v>0</v>
      </c>
      <c r="O17" s="5">
        <v>0</v>
      </c>
      <c r="P17" s="6">
        <v>0</v>
      </c>
      <c r="Q17" s="5">
        <v>0</v>
      </c>
      <c r="T17" s="4">
        <v>13</v>
      </c>
      <c r="U17" s="8">
        <v>44335.582638888889</v>
      </c>
      <c r="V17" s="4">
        <v>1.8452E-3</v>
      </c>
      <c r="W17" s="6">
        <v>395.59</v>
      </c>
      <c r="X17" s="6">
        <v>0.73</v>
      </c>
      <c r="Y17" s="4">
        <v>0.72994266799999996</v>
      </c>
      <c r="Z17" s="6">
        <v>0</v>
      </c>
      <c r="AA17" s="4">
        <v>0</v>
      </c>
      <c r="AB17" s="6">
        <v>0</v>
      </c>
      <c r="AC17" s="4">
        <v>0</v>
      </c>
    </row>
    <row r="18" spans="1:29" x14ac:dyDescent="0.35">
      <c r="A18" s="9">
        <v>44335.68472222222</v>
      </c>
      <c r="B18" s="4" t="s">
        <v>8</v>
      </c>
      <c r="C18" s="6">
        <v>396.39</v>
      </c>
      <c r="D18" s="10">
        <v>2.221E-4</v>
      </c>
      <c r="E18" s="6">
        <v>8.8038219000000001E-2</v>
      </c>
      <c r="F18" s="11">
        <v>2.221E-4</v>
      </c>
      <c r="G18" s="6">
        <v>395.59</v>
      </c>
      <c r="H18" s="6">
        <v>0</v>
      </c>
      <c r="I18" s="4">
        <v>12</v>
      </c>
      <c r="J18" s="9">
        <v>44335.582638888889</v>
      </c>
      <c r="K18" s="6">
        <v>0.09</v>
      </c>
      <c r="L18" s="4">
        <v>8.7860539000000001E-2</v>
      </c>
      <c r="M18" s="4" t="s">
        <v>9</v>
      </c>
      <c r="N18" s="6">
        <v>0</v>
      </c>
      <c r="O18" s="5">
        <v>0</v>
      </c>
      <c r="P18" s="6">
        <v>0</v>
      </c>
      <c r="Q18" s="5">
        <v>0</v>
      </c>
      <c r="T18" s="4">
        <v>14</v>
      </c>
      <c r="U18" s="8">
        <v>44337.958333333336</v>
      </c>
      <c r="V18" s="4">
        <v>1.5E-3</v>
      </c>
      <c r="W18" s="6">
        <v>299.8</v>
      </c>
      <c r="X18" s="6">
        <v>0.59</v>
      </c>
      <c r="Y18" s="4">
        <v>0.44970000000000004</v>
      </c>
      <c r="Z18" s="6">
        <v>0</v>
      </c>
      <c r="AA18" s="4">
        <v>0</v>
      </c>
      <c r="AB18" s="6">
        <v>-0.14000000000000001</v>
      </c>
      <c r="AC18" s="4">
        <v>0</v>
      </c>
    </row>
    <row r="19" spans="1:29" x14ac:dyDescent="0.35">
      <c r="A19" s="9">
        <v>44335.68472222222</v>
      </c>
      <c r="B19" s="4" t="s">
        <v>8</v>
      </c>
      <c r="C19" s="6">
        <v>396.39</v>
      </c>
      <c r="D19" s="10">
        <v>1.8452E-3</v>
      </c>
      <c r="E19" s="6">
        <v>0.73141882800000002</v>
      </c>
      <c r="F19" s="11">
        <v>1.8452E-3</v>
      </c>
      <c r="G19" s="6">
        <v>395.59</v>
      </c>
      <c r="H19" s="6">
        <v>0</v>
      </c>
      <c r="I19" s="4">
        <v>13</v>
      </c>
      <c r="J19" s="9">
        <v>44335.582638888889</v>
      </c>
      <c r="K19" s="6">
        <v>0.73</v>
      </c>
      <c r="L19" s="4">
        <v>0.72994266799999996</v>
      </c>
      <c r="M19" s="4" t="s">
        <v>9</v>
      </c>
      <c r="N19" s="6">
        <v>0</v>
      </c>
      <c r="O19" s="5">
        <v>0</v>
      </c>
      <c r="P19" s="6">
        <v>0</v>
      </c>
      <c r="Q19" s="5">
        <v>0</v>
      </c>
      <c r="T19" s="4">
        <v>15</v>
      </c>
      <c r="U19" s="8">
        <v>44339.370138888888</v>
      </c>
      <c r="V19" s="4">
        <v>1.0349999999999999E-3</v>
      </c>
      <c r="W19" s="6">
        <v>240.58</v>
      </c>
      <c r="X19" s="6">
        <v>0.41</v>
      </c>
      <c r="Y19" s="4">
        <v>0.24900029999999998</v>
      </c>
      <c r="Z19" s="6">
        <v>0</v>
      </c>
      <c r="AA19" s="4">
        <v>0</v>
      </c>
      <c r="AB19" s="6">
        <v>-0.16</v>
      </c>
      <c r="AC19" s="4">
        <v>0</v>
      </c>
    </row>
    <row r="20" spans="1:29" x14ac:dyDescent="0.35">
      <c r="A20" s="9">
        <v>44335.68472222222</v>
      </c>
      <c r="B20" s="4" t="s">
        <v>8</v>
      </c>
      <c r="C20" s="6">
        <v>396.39</v>
      </c>
      <c r="D20" s="10">
        <v>1.5E-3</v>
      </c>
      <c r="E20" s="6">
        <v>0.59458500000000003</v>
      </c>
      <c r="F20" s="11">
        <v>1.5E-3</v>
      </c>
      <c r="G20" s="6">
        <v>299.8</v>
      </c>
      <c r="H20" s="6">
        <v>-0.14000000000000001</v>
      </c>
      <c r="I20" s="4">
        <v>14</v>
      </c>
      <c r="J20" s="9">
        <v>44337.958333333336</v>
      </c>
      <c r="K20" s="6">
        <v>0.59</v>
      </c>
      <c r="L20" s="4">
        <v>0.44970000000000004</v>
      </c>
      <c r="M20" s="4" t="s">
        <v>9</v>
      </c>
      <c r="N20" s="6">
        <v>0</v>
      </c>
      <c r="O20" s="5">
        <v>0</v>
      </c>
      <c r="P20" s="6">
        <v>-0.14000000000000001</v>
      </c>
      <c r="Q20" s="5">
        <v>0</v>
      </c>
      <c r="T20" s="4">
        <v>16</v>
      </c>
      <c r="U20" s="8">
        <v>44339.53125</v>
      </c>
      <c r="V20" s="4">
        <v>1.735E-3</v>
      </c>
      <c r="W20" s="6">
        <v>217.98</v>
      </c>
      <c r="X20" s="6">
        <v>0.69</v>
      </c>
      <c r="Y20" s="4">
        <v>0.37819529999999996</v>
      </c>
      <c r="Z20" s="6">
        <v>0</v>
      </c>
      <c r="AA20" s="4">
        <v>0</v>
      </c>
      <c r="AB20" s="6">
        <v>-0.31</v>
      </c>
      <c r="AC20" s="4">
        <v>0</v>
      </c>
    </row>
    <row r="21" spans="1:29" x14ac:dyDescent="0.35">
      <c r="A21" s="9">
        <v>44335.68472222222</v>
      </c>
      <c r="B21" s="4" t="s">
        <v>8</v>
      </c>
      <c r="C21" s="6">
        <v>396.39</v>
      </c>
      <c r="D21" s="10">
        <v>1.0349999999999999E-3</v>
      </c>
      <c r="E21" s="6">
        <v>0.41026364999999998</v>
      </c>
      <c r="F21" s="11">
        <v>1.0349999999999999E-3</v>
      </c>
      <c r="G21" s="6">
        <v>240.58</v>
      </c>
      <c r="H21" s="6">
        <v>-0.16</v>
      </c>
      <c r="I21" s="4">
        <v>15</v>
      </c>
      <c r="J21" s="9">
        <v>44339.370138888888</v>
      </c>
      <c r="K21" s="6">
        <v>0.41</v>
      </c>
      <c r="L21" s="4">
        <v>0.24900029999999998</v>
      </c>
      <c r="M21" s="4" t="s">
        <v>9</v>
      </c>
      <c r="N21" s="6">
        <v>0</v>
      </c>
      <c r="O21" s="5">
        <v>0</v>
      </c>
      <c r="P21" s="6">
        <v>-0.16</v>
      </c>
      <c r="Q21" s="5">
        <v>0</v>
      </c>
      <c r="T21" s="4">
        <v>17</v>
      </c>
      <c r="U21" s="8">
        <v>44340.613888888889</v>
      </c>
      <c r="V21" s="4">
        <v>4.0749999999999996E-3</v>
      </c>
      <c r="W21" s="6">
        <v>326.38</v>
      </c>
      <c r="X21" s="6">
        <v>1.62</v>
      </c>
      <c r="Y21" s="4">
        <v>1.3299984999999999</v>
      </c>
      <c r="Z21" s="6">
        <v>0</v>
      </c>
      <c r="AA21" s="4">
        <v>0</v>
      </c>
      <c r="AB21" s="6">
        <v>-0.28999999999999998</v>
      </c>
      <c r="AC21" s="4">
        <v>0</v>
      </c>
    </row>
    <row r="22" spans="1:29" x14ac:dyDescent="0.35">
      <c r="A22" s="9">
        <v>44335.68472222222</v>
      </c>
      <c r="B22" s="4" t="s">
        <v>8</v>
      </c>
      <c r="C22" s="6">
        <v>396.39</v>
      </c>
      <c r="D22" s="10">
        <v>1.735E-3</v>
      </c>
      <c r="E22" s="6">
        <v>0.68773664999999995</v>
      </c>
      <c r="F22" s="11">
        <v>1.735E-3</v>
      </c>
      <c r="G22" s="6">
        <v>217.98</v>
      </c>
      <c r="H22" s="6">
        <v>-0.31</v>
      </c>
      <c r="I22" s="4">
        <v>16</v>
      </c>
      <c r="J22" s="9">
        <v>44339.53125</v>
      </c>
      <c r="K22" s="6">
        <v>0.69</v>
      </c>
      <c r="L22" s="4">
        <v>0.37819529999999996</v>
      </c>
      <c r="M22" s="4" t="s">
        <v>9</v>
      </c>
      <c r="N22" s="6">
        <v>0</v>
      </c>
      <c r="O22" s="5">
        <v>0</v>
      </c>
      <c r="P22" s="6">
        <v>-0.31</v>
      </c>
      <c r="Q22" s="5">
        <v>0</v>
      </c>
      <c r="T22" s="4">
        <v>18</v>
      </c>
      <c r="U22" s="8">
        <v>44340.613888888889</v>
      </c>
      <c r="V22" s="4">
        <v>0.27295999999999998</v>
      </c>
      <c r="W22" s="6">
        <v>323.33</v>
      </c>
      <c r="X22" s="6">
        <v>108.2</v>
      </c>
      <c r="Y22" s="4">
        <v>88.256156799999985</v>
      </c>
      <c r="Z22" s="6">
        <v>0</v>
      </c>
      <c r="AA22" s="4">
        <v>0</v>
      </c>
      <c r="AB22" s="6">
        <v>-19.940000000000001</v>
      </c>
      <c r="AC22" s="4">
        <v>0</v>
      </c>
    </row>
    <row r="23" spans="1:29" x14ac:dyDescent="0.35">
      <c r="A23" s="9">
        <v>44335.68472222222</v>
      </c>
      <c r="B23" s="4" t="s">
        <v>8</v>
      </c>
      <c r="C23" s="6">
        <v>396.39</v>
      </c>
      <c r="D23" s="10">
        <v>4.0749999999999996E-3</v>
      </c>
      <c r="E23" s="6">
        <v>1.6152892499999998</v>
      </c>
      <c r="F23" s="11">
        <v>4.0749999999999996E-3</v>
      </c>
      <c r="G23" s="6">
        <v>326.38</v>
      </c>
      <c r="H23" s="6">
        <v>-0.28999999999999998</v>
      </c>
      <c r="I23" s="4">
        <v>17</v>
      </c>
      <c r="J23" s="9">
        <v>44340.613888888889</v>
      </c>
      <c r="K23" s="6">
        <v>1.62</v>
      </c>
      <c r="L23" s="4">
        <v>1.3299984999999999</v>
      </c>
      <c r="M23" s="4" t="s">
        <v>9</v>
      </c>
      <c r="N23" s="6">
        <v>0</v>
      </c>
      <c r="O23" s="5">
        <v>0</v>
      </c>
      <c r="P23" s="6">
        <v>-0.28999999999999998</v>
      </c>
      <c r="Q23" s="5">
        <v>0</v>
      </c>
      <c r="T23" s="4">
        <v>19</v>
      </c>
      <c r="U23" s="8">
        <v>44340.613888888889</v>
      </c>
      <c r="V23" s="4">
        <v>7.1179999999999995E-4</v>
      </c>
      <c r="W23" s="6">
        <v>323.33</v>
      </c>
      <c r="X23" s="6">
        <v>0.28000000000000003</v>
      </c>
      <c r="Y23" s="4">
        <v>0.23014629399999997</v>
      </c>
      <c r="Z23" s="6">
        <v>0</v>
      </c>
      <c r="AA23" s="4">
        <v>0</v>
      </c>
      <c r="AB23" s="6">
        <v>-0.05</v>
      </c>
      <c r="AC23" s="4">
        <v>0</v>
      </c>
    </row>
    <row r="24" spans="1:29" x14ac:dyDescent="0.35">
      <c r="A24" s="9">
        <v>44335.68472222222</v>
      </c>
      <c r="B24" s="4" t="s">
        <v>8</v>
      </c>
      <c r="C24" s="6">
        <v>396.39</v>
      </c>
      <c r="D24" s="10">
        <v>0.27295999999999998</v>
      </c>
      <c r="E24" s="6">
        <v>108.1986144</v>
      </c>
      <c r="F24" s="11">
        <v>0.27295999999999998</v>
      </c>
      <c r="G24" s="6">
        <v>323.33</v>
      </c>
      <c r="H24" s="6">
        <v>-19.940000000000001</v>
      </c>
      <c r="I24" s="4">
        <v>18</v>
      </c>
      <c r="J24" s="9">
        <v>44340.613888888889</v>
      </c>
      <c r="K24" s="6">
        <v>108.2</v>
      </c>
      <c r="L24" s="4">
        <v>88.256156799999985</v>
      </c>
      <c r="M24" s="4" t="s">
        <v>9</v>
      </c>
      <c r="N24" s="6">
        <v>0</v>
      </c>
      <c r="O24" s="5">
        <v>0</v>
      </c>
      <c r="P24" s="6">
        <v>-19.940000000000001</v>
      </c>
      <c r="Q24" s="5">
        <v>0</v>
      </c>
      <c r="T24" s="4">
        <v>20</v>
      </c>
      <c r="U24" s="8">
        <v>44340.619444444441</v>
      </c>
      <c r="V24" s="4">
        <v>9.6250000000000003E-4</v>
      </c>
      <c r="W24" s="6">
        <v>325.64</v>
      </c>
      <c r="X24" s="6">
        <v>0.38</v>
      </c>
      <c r="Y24" s="4">
        <v>0.3134285</v>
      </c>
      <c r="Z24" s="6">
        <v>0</v>
      </c>
      <c r="AA24" s="4">
        <v>0</v>
      </c>
      <c r="AB24" s="6">
        <v>-7.0000000000000007E-2</v>
      </c>
      <c r="AC24" s="4">
        <v>0</v>
      </c>
    </row>
    <row r="25" spans="1:29" x14ac:dyDescent="0.35">
      <c r="A25" s="9">
        <v>44335.68472222222</v>
      </c>
      <c r="B25" s="4" t="s">
        <v>8</v>
      </c>
      <c r="C25" s="6">
        <v>396.39</v>
      </c>
      <c r="D25" s="10">
        <v>7.1179999999999995E-4</v>
      </c>
      <c r="E25" s="6">
        <v>0.28215040199999997</v>
      </c>
      <c r="F25" s="11">
        <v>7.1179999999999995E-4</v>
      </c>
      <c r="G25" s="6">
        <v>323.33</v>
      </c>
      <c r="H25" s="6">
        <v>-0.05</v>
      </c>
      <c r="I25" s="4">
        <v>19</v>
      </c>
      <c r="J25" s="9">
        <v>44340.613888888889</v>
      </c>
      <c r="K25" s="6">
        <v>0.28000000000000003</v>
      </c>
      <c r="L25" s="4">
        <v>0.23014629399999997</v>
      </c>
      <c r="M25" s="4" t="s">
        <v>9</v>
      </c>
      <c r="N25" s="6">
        <v>0</v>
      </c>
      <c r="O25" s="5">
        <v>0</v>
      </c>
      <c r="P25" s="6">
        <v>-0.05</v>
      </c>
      <c r="Q25" s="5">
        <v>0</v>
      </c>
      <c r="T25" s="4">
        <v>21</v>
      </c>
      <c r="U25" s="8">
        <v>44340.620833333334</v>
      </c>
      <c r="V25" s="4">
        <v>6.0718499999999999E-4</v>
      </c>
      <c r="W25" s="6">
        <v>329.39</v>
      </c>
      <c r="X25" s="6">
        <v>0.24</v>
      </c>
      <c r="Y25" s="4">
        <v>0.20000066714999998</v>
      </c>
      <c r="Z25" s="6">
        <v>0</v>
      </c>
      <c r="AA25" s="4">
        <v>0</v>
      </c>
      <c r="AB25" s="6">
        <v>-0.04</v>
      </c>
      <c r="AC25" s="4">
        <v>0</v>
      </c>
    </row>
    <row r="26" spans="1:29" x14ac:dyDescent="0.35">
      <c r="A26" s="9">
        <v>44335.68472222222</v>
      </c>
      <c r="B26" s="4" t="s">
        <v>8</v>
      </c>
      <c r="C26" s="6">
        <v>396.39</v>
      </c>
      <c r="D26" s="10">
        <v>9.6250000000000003E-4</v>
      </c>
      <c r="E26" s="6">
        <v>0.381525375</v>
      </c>
      <c r="F26" s="11">
        <v>9.6250000000000003E-4</v>
      </c>
      <c r="G26" s="6">
        <v>325.64</v>
      </c>
      <c r="H26" s="6">
        <v>-7.0000000000000007E-2</v>
      </c>
      <c r="I26" s="4">
        <v>20</v>
      </c>
      <c r="J26" s="9">
        <v>44340.619444444441</v>
      </c>
      <c r="K26" s="6">
        <v>0.38</v>
      </c>
      <c r="L26" s="4">
        <v>0.3134285</v>
      </c>
      <c r="M26" s="4" t="s">
        <v>9</v>
      </c>
      <c r="N26" s="6">
        <v>0</v>
      </c>
      <c r="O26" s="5">
        <v>0</v>
      </c>
      <c r="P26" s="6">
        <v>-7.0000000000000007E-2</v>
      </c>
      <c r="Q26" s="5">
        <v>0</v>
      </c>
      <c r="T26" s="4">
        <v>22</v>
      </c>
      <c r="U26" s="8">
        <v>44340.625</v>
      </c>
      <c r="V26" s="4">
        <v>6.52825E-4</v>
      </c>
      <c r="W26" s="6">
        <v>321.68</v>
      </c>
      <c r="X26" s="6">
        <v>0.26</v>
      </c>
      <c r="Y26" s="4">
        <v>0.21000074600000002</v>
      </c>
      <c r="Z26" s="6">
        <v>0</v>
      </c>
      <c r="AA26" s="4">
        <v>0</v>
      </c>
      <c r="AB26" s="6">
        <v>-0.05</v>
      </c>
      <c r="AC26" s="4">
        <v>0</v>
      </c>
    </row>
    <row r="27" spans="1:29" x14ac:dyDescent="0.35">
      <c r="A27" s="9">
        <v>44335.68472222222</v>
      </c>
      <c r="B27" s="4" t="s">
        <v>8</v>
      </c>
      <c r="C27" s="6">
        <v>396.39</v>
      </c>
      <c r="D27" s="10">
        <v>6.0718499999999999E-4</v>
      </c>
      <c r="E27" s="6">
        <v>0.24068206214999999</v>
      </c>
      <c r="F27" s="11">
        <v>6.0718499999999999E-4</v>
      </c>
      <c r="G27" s="6">
        <v>329.39</v>
      </c>
      <c r="H27" s="6">
        <v>-0.04</v>
      </c>
      <c r="I27" s="4">
        <v>21</v>
      </c>
      <c r="J27" s="9">
        <v>44340.620833333334</v>
      </c>
      <c r="K27" s="6">
        <v>0.24</v>
      </c>
      <c r="L27" s="4">
        <v>0.20000066714999998</v>
      </c>
      <c r="M27" s="4" t="s">
        <v>9</v>
      </c>
      <c r="N27" s="6">
        <v>0</v>
      </c>
      <c r="O27" s="5">
        <v>0</v>
      </c>
      <c r="P27" s="6">
        <v>-0.04</v>
      </c>
      <c r="Q27" s="5">
        <v>0</v>
      </c>
      <c r="T27" s="4">
        <v>23</v>
      </c>
      <c r="U27" s="8">
        <v>44340.904374999998</v>
      </c>
      <c r="V27" s="4">
        <v>0.46</v>
      </c>
      <c r="W27" s="6">
        <v>354</v>
      </c>
      <c r="X27" s="6">
        <v>182.34</v>
      </c>
      <c r="Y27" s="4">
        <v>162.84</v>
      </c>
      <c r="Z27" s="6">
        <v>0</v>
      </c>
      <c r="AA27" s="4">
        <v>0</v>
      </c>
      <c r="AB27" s="6">
        <v>-19.5</v>
      </c>
      <c r="AC27" s="4">
        <v>0</v>
      </c>
    </row>
    <row r="28" spans="1:29" x14ac:dyDescent="0.35">
      <c r="A28" s="9">
        <v>44335.68472222222</v>
      </c>
      <c r="B28" s="4" t="s">
        <v>8</v>
      </c>
      <c r="C28" s="6">
        <v>396.39</v>
      </c>
      <c r="D28" s="10">
        <v>6.52825E-4</v>
      </c>
      <c r="E28" s="6">
        <v>0.25877330175000002</v>
      </c>
      <c r="F28" s="11">
        <v>6.52825E-4</v>
      </c>
      <c r="G28" s="6">
        <v>321.68</v>
      </c>
      <c r="H28" s="6">
        <v>-0.05</v>
      </c>
      <c r="I28" s="4">
        <v>22</v>
      </c>
      <c r="J28" s="9">
        <v>44340.625</v>
      </c>
      <c r="K28" s="6">
        <v>0.26</v>
      </c>
      <c r="L28" s="4">
        <v>0.21000074600000002</v>
      </c>
      <c r="M28" s="4" t="s">
        <v>9</v>
      </c>
      <c r="N28" s="6">
        <v>0</v>
      </c>
      <c r="O28" s="5">
        <v>0</v>
      </c>
      <c r="P28" s="6">
        <v>-0.05</v>
      </c>
      <c r="Q28" s="5">
        <v>0</v>
      </c>
      <c r="T28" s="4">
        <v>24</v>
      </c>
      <c r="U28" s="8">
        <v>44340.904560185183</v>
      </c>
      <c r="V28" s="4">
        <v>0.08</v>
      </c>
      <c r="W28" s="6">
        <v>354</v>
      </c>
      <c r="X28" s="6">
        <v>31.71</v>
      </c>
      <c r="Y28" s="4">
        <v>28.32</v>
      </c>
      <c r="Z28" s="6">
        <v>0</v>
      </c>
      <c r="AA28" s="4">
        <v>0</v>
      </c>
      <c r="AB28" s="6">
        <v>-3.39</v>
      </c>
      <c r="AC28" s="4">
        <v>0</v>
      </c>
    </row>
    <row r="29" spans="1:29" x14ac:dyDescent="0.35">
      <c r="A29" s="9">
        <v>44335.68472222222</v>
      </c>
      <c r="B29" s="4" t="s">
        <v>8</v>
      </c>
      <c r="C29" s="6">
        <v>396.39</v>
      </c>
      <c r="D29" s="10">
        <v>0.46</v>
      </c>
      <c r="E29" s="6">
        <v>182.33940000000001</v>
      </c>
      <c r="F29" s="11">
        <v>0.46</v>
      </c>
      <c r="G29" s="6">
        <v>354</v>
      </c>
      <c r="H29" s="6">
        <v>-19.5</v>
      </c>
      <c r="I29" s="4">
        <v>23</v>
      </c>
      <c r="J29" s="9">
        <v>44340.904374999998</v>
      </c>
      <c r="K29" s="6">
        <v>182.34</v>
      </c>
      <c r="L29" s="4">
        <v>162.84</v>
      </c>
      <c r="M29" s="4" t="s">
        <v>9</v>
      </c>
      <c r="N29" s="6">
        <v>0</v>
      </c>
      <c r="O29" s="5">
        <v>0</v>
      </c>
      <c r="P29" s="6">
        <v>-19.5</v>
      </c>
      <c r="Q29" s="5">
        <v>0</v>
      </c>
      <c r="T29" s="4">
        <v>25</v>
      </c>
      <c r="U29" s="8">
        <v>44340.904560185183</v>
      </c>
      <c r="V29" s="4">
        <v>5.13</v>
      </c>
      <c r="W29" s="6">
        <v>354</v>
      </c>
      <c r="X29" s="6">
        <v>1851.52</v>
      </c>
      <c r="Y29" s="4">
        <v>1816.02</v>
      </c>
      <c r="Z29" s="6">
        <v>102.1</v>
      </c>
      <c r="AA29" s="4">
        <v>0</v>
      </c>
      <c r="AB29" s="6">
        <v>-137.6</v>
      </c>
      <c r="AC29" s="4">
        <v>0</v>
      </c>
    </row>
    <row r="30" spans="1:29" x14ac:dyDescent="0.35">
      <c r="A30" s="9">
        <v>44335.68472222222</v>
      </c>
      <c r="B30" s="4" t="s">
        <v>8</v>
      </c>
      <c r="C30" s="6">
        <v>396.39</v>
      </c>
      <c r="D30" s="10">
        <v>0.08</v>
      </c>
      <c r="E30" s="6">
        <v>31.711200000000002</v>
      </c>
      <c r="F30" s="11">
        <v>0.08</v>
      </c>
      <c r="G30" s="6">
        <v>354</v>
      </c>
      <c r="H30" s="6">
        <v>-3.39</v>
      </c>
      <c r="I30" s="4">
        <v>24</v>
      </c>
      <c r="J30" s="9">
        <v>44340.904560185183</v>
      </c>
      <c r="K30" s="6">
        <v>31.71</v>
      </c>
      <c r="L30" s="4">
        <v>28.32</v>
      </c>
      <c r="M30" s="4" t="s">
        <v>9</v>
      </c>
      <c r="N30" s="6">
        <v>0</v>
      </c>
      <c r="O30" s="5">
        <v>0</v>
      </c>
      <c r="P30" s="6">
        <v>-3.39</v>
      </c>
      <c r="Q30" s="5">
        <v>0</v>
      </c>
      <c r="T30" s="4">
        <v>26</v>
      </c>
      <c r="U30" s="8">
        <v>44340.904560185183</v>
      </c>
      <c r="V30" s="4">
        <v>4.2580999999999999E-3</v>
      </c>
      <c r="W30" s="6">
        <v>354</v>
      </c>
      <c r="X30" s="6">
        <v>1.28</v>
      </c>
      <c r="Y30" s="4">
        <v>1.5073673999999999</v>
      </c>
      <c r="Z30" s="6">
        <v>0.23</v>
      </c>
      <c r="AA30" s="4">
        <v>0</v>
      </c>
      <c r="AB30" s="6">
        <v>0</v>
      </c>
      <c r="AC30" s="4">
        <v>0</v>
      </c>
    </row>
    <row r="31" spans="1:29" x14ac:dyDescent="0.35">
      <c r="A31" s="9">
        <v>44335.68472222222</v>
      </c>
      <c r="B31" s="4" t="s">
        <v>8</v>
      </c>
      <c r="C31" s="6">
        <v>396.39</v>
      </c>
      <c r="D31" s="10">
        <v>3.2461626899999998</v>
      </c>
      <c r="E31" s="6">
        <v>1286.7464286891</v>
      </c>
      <c r="F31" s="11">
        <v>5.13</v>
      </c>
      <c r="G31" s="6">
        <v>354</v>
      </c>
      <c r="H31" s="6">
        <v>-137.6</v>
      </c>
      <c r="I31" s="4">
        <v>25</v>
      </c>
      <c r="J31" s="9">
        <v>44340.904560185183</v>
      </c>
      <c r="K31" s="6">
        <v>1851.52</v>
      </c>
      <c r="L31" s="4">
        <v>1816.02</v>
      </c>
      <c r="M31" s="4" t="s">
        <v>9</v>
      </c>
      <c r="N31" s="6">
        <v>102.1</v>
      </c>
      <c r="O31" s="5">
        <v>0</v>
      </c>
      <c r="P31" s="6">
        <v>-137.6</v>
      </c>
      <c r="Q31" s="5">
        <v>0</v>
      </c>
      <c r="T31" s="4">
        <v>27</v>
      </c>
      <c r="U31" s="8">
        <v>44344.158333333333</v>
      </c>
      <c r="V31" s="4">
        <v>6.3210000000000002E-4</v>
      </c>
      <c r="W31" s="6">
        <v>363.9</v>
      </c>
      <c r="X31" s="6">
        <v>0.19</v>
      </c>
      <c r="Y31" s="4">
        <v>0.23002118999999999</v>
      </c>
      <c r="Z31" s="6">
        <v>0.04</v>
      </c>
      <c r="AA31" s="4">
        <v>0</v>
      </c>
      <c r="AB31" s="6">
        <v>0</v>
      </c>
      <c r="AC31" s="4">
        <v>0</v>
      </c>
    </row>
    <row r="32" spans="1:29" x14ac:dyDescent="0.35">
      <c r="A32" s="9">
        <v>44337.958333333336</v>
      </c>
      <c r="B32" s="4" t="s">
        <v>8</v>
      </c>
      <c r="C32" s="6">
        <v>299.8</v>
      </c>
      <c r="D32" s="10">
        <v>1.8838373100000001</v>
      </c>
      <c r="E32" s="6">
        <v>564.77442553800006</v>
      </c>
      <c r="F32" s="11">
        <v>5.13</v>
      </c>
      <c r="G32" s="6">
        <v>354</v>
      </c>
      <c r="H32" s="6">
        <v>102.1</v>
      </c>
      <c r="I32" s="4">
        <v>25</v>
      </c>
      <c r="J32" s="9">
        <v>44340.904560185183</v>
      </c>
      <c r="K32" s="6">
        <v>1851.52</v>
      </c>
      <c r="L32" s="4">
        <v>1816.02</v>
      </c>
      <c r="M32" s="4" t="s">
        <v>9</v>
      </c>
      <c r="N32" s="6">
        <v>102.1</v>
      </c>
      <c r="O32" s="5">
        <v>0</v>
      </c>
      <c r="P32" s="6">
        <v>-137.6</v>
      </c>
      <c r="Q32" s="5">
        <v>0</v>
      </c>
      <c r="T32" s="4">
        <v>28</v>
      </c>
      <c r="U32" s="8">
        <v>44344.158333333333</v>
      </c>
      <c r="V32" s="4">
        <v>6.0249999999999995E-4</v>
      </c>
      <c r="W32" s="6">
        <v>132.78</v>
      </c>
      <c r="X32" s="6">
        <v>0.18</v>
      </c>
      <c r="Y32" s="4">
        <v>7.999995E-2</v>
      </c>
      <c r="Z32" s="6">
        <v>0</v>
      </c>
      <c r="AA32" s="4">
        <v>0</v>
      </c>
      <c r="AB32" s="6">
        <v>-0.1</v>
      </c>
      <c r="AC32" s="4">
        <v>0</v>
      </c>
    </row>
    <row r="33" spans="1:29" x14ac:dyDescent="0.35">
      <c r="A33" s="9">
        <v>44337.958333333336</v>
      </c>
      <c r="B33" s="4" t="s">
        <v>8</v>
      </c>
      <c r="C33" s="6">
        <v>299.8</v>
      </c>
      <c r="D33" s="10">
        <v>4.2580999999999999E-3</v>
      </c>
      <c r="E33" s="6">
        <v>1.2765783799999999</v>
      </c>
      <c r="F33" s="11">
        <v>4.2580999999999999E-3</v>
      </c>
      <c r="G33" s="6">
        <v>354</v>
      </c>
      <c r="H33" s="6">
        <v>0.23</v>
      </c>
      <c r="I33" s="4">
        <v>26</v>
      </c>
      <c r="J33" s="9">
        <v>44340.904560185183</v>
      </c>
      <c r="K33" s="6">
        <v>1.28</v>
      </c>
      <c r="L33" s="4">
        <v>1.5073673999999999</v>
      </c>
      <c r="M33" s="4" t="s">
        <v>9</v>
      </c>
      <c r="N33" s="6">
        <v>0.23</v>
      </c>
      <c r="O33" s="5">
        <v>0</v>
      </c>
      <c r="P33" s="6">
        <v>0</v>
      </c>
      <c r="Q33" s="5">
        <v>0</v>
      </c>
      <c r="T33" s="4">
        <v>29</v>
      </c>
      <c r="U33" s="8">
        <v>44344.159722222219</v>
      </c>
      <c r="V33" s="4">
        <v>2.221E-4</v>
      </c>
      <c r="W33" s="6">
        <v>360.2</v>
      </c>
      <c r="X33" s="6">
        <v>7.0000000000000007E-2</v>
      </c>
      <c r="Y33" s="4">
        <v>8.0000420000000003E-2</v>
      </c>
      <c r="Z33" s="6">
        <v>0.01</v>
      </c>
      <c r="AA33" s="4">
        <v>0</v>
      </c>
      <c r="AB33" s="6">
        <v>0</v>
      </c>
      <c r="AC33" s="4">
        <v>0</v>
      </c>
    </row>
    <row r="34" spans="1:29" x14ac:dyDescent="0.35">
      <c r="A34" s="9">
        <v>44337.958333333336</v>
      </c>
      <c r="B34" s="4" t="s">
        <v>8</v>
      </c>
      <c r="C34" s="6">
        <v>299.8</v>
      </c>
      <c r="D34" s="10">
        <v>6.3210000000000002E-4</v>
      </c>
      <c r="E34" s="6">
        <v>0.18950358</v>
      </c>
      <c r="F34" s="11">
        <v>6.3210000000000002E-4</v>
      </c>
      <c r="G34" s="6">
        <v>363.9</v>
      </c>
      <c r="H34" s="6">
        <v>0.04</v>
      </c>
      <c r="I34" s="4">
        <v>27</v>
      </c>
      <c r="J34" s="9">
        <v>44344.158333333333</v>
      </c>
      <c r="K34" s="6">
        <v>0.19</v>
      </c>
      <c r="L34" s="4">
        <v>0.23002118999999999</v>
      </c>
      <c r="M34" s="4" t="s">
        <v>9</v>
      </c>
      <c r="N34" s="6">
        <v>0.04</v>
      </c>
      <c r="O34" s="5">
        <v>0</v>
      </c>
      <c r="P34" s="6">
        <v>0</v>
      </c>
      <c r="Q34" s="5">
        <v>0</v>
      </c>
      <c r="T34" s="4">
        <v>30</v>
      </c>
      <c r="U34" s="8">
        <v>44344.160416666666</v>
      </c>
      <c r="V34" s="4">
        <v>8.4900000000000004E-4</v>
      </c>
      <c r="W34" s="6">
        <v>353.36</v>
      </c>
      <c r="X34" s="6">
        <v>0.25</v>
      </c>
      <c r="Y34" s="4">
        <v>0.30000264000000004</v>
      </c>
      <c r="Z34" s="6">
        <v>0.05</v>
      </c>
      <c r="AA34" s="4">
        <v>0</v>
      </c>
      <c r="AB34" s="6">
        <v>0</v>
      </c>
      <c r="AC34" s="4">
        <v>0</v>
      </c>
    </row>
    <row r="35" spans="1:29" x14ac:dyDescent="0.35">
      <c r="A35" s="9">
        <v>44337.958333333336</v>
      </c>
      <c r="B35" s="4" t="s">
        <v>8</v>
      </c>
      <c r="C35" s="6">
        <v>299.8</v>
      </c>
      <c r="D35" s="10">
        <v>6.0249999999999995E-4</v>
      </c>
      <c r="E35" s="6">
        <v>0.1806295</v>
      </c>
      <c r="F35" s="11">
        <v>6.0249999999999995E-4</v>
      </c>
      <c r="G35" s="6">
        <v>132.78</v>
      </c>
      <c r="H35" s="6">
        <v>-0.1</v>
      </c>
      <c r="I35" s="4">
        <v>28</v>
      </c>
      <c r="J35" s="9">
        <v>44344.158333333333</v>
      </c>
      <c r="K35" s="6">
        <v>0.18</v>
      </c>
      <c r="L35" s="4">
        <v>7.999995E-2</v>
      </c>
      <c r="M35" s="4" t="s">
        <v>9</v>
      </c>
      <c r="N35" s="6">
        <v>0</v>
      </c>
      <c r="O35" s="5">
        <v>0</v>
      </c>
      <c r="P35" s="6">
        <v>-0.1</v>
      </c>
      <c r="Q35" s="5">
        <v>0</v>
      </c>
      <c r="T35" s="4">
        <v>31</v>
      </c>
      <c r="U35" s="8">
        <v>44344.161111111112</v>
      </c>
      <c r="V35" s="4">
        <v>1.1538E-3</v>
      </c>
      <c r="W35" s="6">
        <v>355.36</v>
      </c>
      <c r="X35" s="6">
        <v>0.35</v>
      </c>
      <c r="Y35" s="4">
        <v>0.41001436800000002</v>
      </c>
      <c r="Z35" s="6">
        <v>0.06</v>
      </c>
      <c r="AA35" s="4">
        <v>0</v>
      </c>
      <c r="AB35" s="6">
        <v>0</v>
      </c>
      <c r="AC35" s="4">
        <v>0</v>
      </c>
    </row>
    <row r="36" spans="1:29" x14ac:dyDescent="0.35">
      <c r="A36" s="9">
        <v>44337.958333333336</v>
      </c>
      <c r="B36" s="4" t="s">
        <v>8</v>
      </c>
      <c r="C36" s="6">
        <v>299.8</v>
      </c>
      <c r="D36" s="10">
        <v>2.221E-4</v>
      </c>
      <c r="E36" s="6">
        <v>6.6585580000000005E-2</v>
      </c>
      <c r="F36" s="11">
        <v>2.221E-4</v>
      </c>
      <c r="G36" s="6">
        <v>360.2</v>
      </c>
      <c r="H36" s="6">
        <v>0.01</v>
      </c>
      <c r="I36" s="4">
        <v>29</v>
      </c>
      <c r="J36" s="9">
        <v>44344.159722222219</v>
      </c>
      <c r="K36" s="6">
        <v>7.0000000000000007E-2</v>
      </c>
      <c r="L36" s="4">
        <v>8.0000420000000003E-2</v>
      </c>
      <c r="M36" s="4" t="s">
        <v>9</v>
      </c>
      <c r="N36" s="6">
        <v>0.01</v>
      </c>
      <c r="O36" s="5">
        <v>0</v>
      </c>
      <c r="P36" s="6">
        <v>0</v>
      </c>
      <c r="Q36" s="5">
        <v>0</v>
      </c>
      <c r="T36" s="4">
        <v>32</v>
      </c>
      <c r="U36" s="8">
        <v>44344.161111111112</v>
      </c>
      <c r="V36" s="4">
        <v>3.813E-4</v>
      </c>
      <c r="W36" s="6">
        <v>367.21</v>
      </c>
      <c r="X36" s="6">
        <v>0.11</v>
      </c>
      <c r="Y36" s="4">
        <v>0.14001717299999999</v>
      </c>
      <c r="Z36" s="6">
        <v>0.03</v>
      </c>
      <c r="AA36" s="4">
        <v>0</v>
      </c>
      <c r="AB36" s="6">
        <v>0</v>
      </c>
      <c r="AC36" s="4">
        <v>0</v>
      </c>
    </row>
    <row r="37" spans="1:29" x14ac:dyDescent="0.35">
      <c r="A37" s="9">
        <v>44337.958333333336</v>
      </c>
      <c r="B37" s="4" t="s">
        <v>8</v>
      </c>
      <c r="C37" s="6">
        <v>299.8</v>
      </c>
      <c r="D37" s="10">
        <v>8.4900000000000004E-4</v>
      </c>
      <c r="E37" s="6">
        <v>0.25453019999999998</v>
      </c>
      <c r="F37" s="11">
        <v>8.4900000000000004E-4</v>
      </c>
      <c r="G37" s="6">
        <v>353.36</v>
      </c>
      <c r="H37" s="6">
        <v>0.05</v>
      </c>
      <c r="I37" s="4">
        <v>30</v>
      </c>
      <c r="J37" s="9">
        <v>44344.160416666666</v>
      </c>
      <c r="K37" s="6">
        <v>0.25</v>
      </c>
      <c r="L37" s="4">
        <v>0.30000264000000004</v>
      </c>
      <c r="M37" s="4" t="s">
        <v>9</v>
      </c>
      <c r="N37" s="6">
        <v>0.05</v>
      </c>
      <c r="O37" s="5">
        <v>0</v>
      </c>
      <c r="P37" s="6">
        <v>0</v>
      </c>
      <c r="Q37" s="5">
        <v>0</v>
      </c>
      <c r="T37" s="4">
        <v>33</v>
      </c>
      <c r="U37" s="8">
        <v>44344.163888888892</v>
      </c>
      <c r="V37" s="4">
        <v>7.4999999999999993E-5</v>
      </c>
      <c r="W37" s="6">
        <v>353.22</v>
      </c>
      <c r="X37" s="6">
        <v>0.02</v>
      </c>
      <c r="Y37" s="4">
        <v>2.6491500000000001E-2</v>
      </c>
      <c r="Z37" s="6">
        <v>0</v>
      </c>
      <c r="AA37" s="4">
        <v>0</v>
      </c>
      <c r="AB37" s="6">
        <v>0</v>
      </c>
      <c r="AC37" s="4">
        <v>0</v>
      </c>
    </row>
    <row r="38" spans="1:29" x14ac:dyDescent="0.35">
      <c r="A38" s="9">
        <v>44337.958333333336</v>
      </c>
      <c r="B38" s="4" t="s">
        <v>8</v>
      </c>
      <c r="C38" s="6">
        <v>299.8</v>
      </c>
      <c r="D38" s="10">
        <v>1.1538E-3</v>
      </c>
      <c r="E38" s="6">
        <v>0.34590924000000001</v>
      </c>
      <c r="F38" s="11">
        <v>1.1538E-3</v>
      </c>
      <c r="G38" s="6">
        <v>355.36</v>
      </c>
      <c r="H38" s="6">
        <v>0.06</v>
      </c>
      <c r="I38" s="4">
        <v>31</v>
      </c>
      <c r="J38" s="9">
        <v>44344.161111111112</v>
      </c>
      <c r="K38" s="6">
        <v>0.35</v>
      </c>
      <c r="L38" s="4">
        <v>0.41001436800000002</v>
      </c>
      <c r="M38" s="4" t="s">
        <v>9</v>
      </c>
      <c r="N38" s="6">
        <v>0.06</v>
      </c>
      <c r="O38" s="5">
        <v>0</v>
      </c>
      <c r="P38" s="6">
        <v>0</v>
      </c>
      <c r="Q38" s="5">
        <v>0</v>
      </c>
      <c r="T38" s="4">
        <v>34</v>
      </c>
      <c r="U38" s="8">
        <v>44344.165277777778</v>
      </c>
      <c r="V38" s="4">
        <v>3.5</v>
      </c>
      <c r="W38" s="6">
        <v>365.06</v>
      </c>
      <c r="X38" s="6">
        <v>802.99</v>
      </c>
      <c r="Y38" s="4">
        <v>1277.71</v>
      </c>
      <c r="Z38" s="6">
        <v>474.72</v>
      </c>
      <c r="AA38" s="4">
        <v>0</v>
      </c>
      <c r="AB38" s="6">
        <v>0</v>
      </c>
      <c r="AC38" s="4">
        <v>0</v>
      </c>
    </row>
    <row r="39" spans="1:29" x14ac:dyDescent="0.35">
      <c r="A39" s="9">
        <v>44337.958333333336</v>
      </c>
      <c r="B39" s="4" t="s">
        <v>8</v>
      </c>
      <c r="C39" s="6">
        <v>299.8</v>
      </c>
      <c r="D39" s="10">
        <v>3.813E-4</v>
      </c>
      <c r="E39" s="6">
        <v>0.11431374</v>
      </c>
      <c r="F39" s="11">
        <v>3.813E-4</v>
      </c>
      <c r="G39" s="6">
        <v>367.21</v>
      </c>
      <c r="H39" s="6">
        <v>0.03</v>
      </c>
      <c r="I39" s="4">
        <v>32</v>
      </c>
      <c r="J39" s="9">
        <v>44344.161111111112</v>
      </c>
      <c r="K39" s="6">
        <v>0.11</v>
      </c>
      <c r="L39" s="4">
        <v>0.14001717299999999</v>
      </c>
      <c r="M39" s="4" t="s">
        <v>9</v>
      </c>
      <c r="N39" s="6">
        <v>0.03</v>
      </c>
      <c r="O39" s="5">
        <v>0</v>
      </c>
      <c r="P39" s="6">
        <v>0</v>
      </c>
      <c r="Q39" s="5">
        <v>0</v>
      </c>
      <c r="T39" s="4">
        <v>35</v>
      </c>
      <c r="U39" s="8">
        <v>44344.165277777778</v>
      </c>
      <c r="V39" s="4">
        <v>0.13001641659999999</v>
      </c>
      <c r="W39" s="6">
        <v>365.06</v>
      </c>
      <c r="X39" s="6">
        <v>28.33</v>
      </c>
      <c r="Y39" s="4">
        <v>47.463793043995999</v>
      </c>
      <c r="Z39" s="6">
        <v>19.13</v>
      </c>
      <c r="AA39" s="4">
        <v>0</v>
      </c>
      <c r="AB39" s="6">
        <v>0</v>
      </c>
      <c r="AC39" s="4">
        <v>0</v>
      </c>
    </row>
    <row r="40" spans="1:29" x14ac:dyDescent="0.35">
      <c r="A40" s="9">
        <v>44337.958333333336</v>
      </c>
      <c r="B40" s="4" t="s">
        <v>8</v>
      </c>
      <c r="C40" s="6">
        <v>299.8</v>
      </c>
      <c r="D40" s="10">
        <v>7.4999999999999993E-5</v>
      </c>
      <c r="E40" s="6">
        <v>2.2484999999999998E-2</v>
      </c>
      <c r="F40" s="11">
        <v>7.4999999999999993E-5</v>
      </c>
      <c r="G40" s="6">
        <v>353.22</v>
      </c>
      <c r="H40" s="6">
        <v>0</v>
      </c>
      <c r="I40" s="4">
        <v>33</v>
      </c>
      <c r="J40" s="9">
        <v>44344.163888888892</v>
      </c>
      <c r="K40" s="6">
        <v>0.02</v>
      </c>
      <c r="L40" s="4">
        <v>2.6491500000000001E-2</v>
      </c>
      <c r="M40" s="4" t="s">
        <v>9</v>
      </c>
      <c r="N40" s="6">
        <v>0</v>
      </c>
      <c r="O40" s="5">
        <v>0</v>
      </c>
      <c r="P40" s="6">
        <v>0</v>
      </c>
      <c r="Q40" s="5">
        <v>0</v>
      </c>
      <c r="T40" s="4">
        <v>36</v>
      </c>
      <c r="U40" s="8">
        <v>44347.972037037034</v>
      </c>
      <c r="V40" s="4">
        <v>1.017E-2</v>
      </c>
      <c r="W40" s="6">
        <v>352.3</v>
      </c>
      <c r="X40" s="6">
        <v>2.2200000000000002</v>
      </c>
      <c r="Y40" s="4">
        <v>3.582891</v>
      </c>
      <c r="Z40" s="6">
        <v>1.37</v>
      </c>
      <c r="AA40" s="4">
        <v>0</v>
      </c>
      <c r="AB40" s="6">
        <v>0</v>
      </c>
      <c r="AC40" s="4">
        <v>0</v>
      </c>
    </row>
    <row r="41" spans="1:29" x14ac:dyDescent="0.35">
      <c r="A41" s="9">
        <v>44337.958333333336</v>
      </c>
      <c r="B41" s="4" t="s">
        <v>8</v>
      </c>
      <c r="C41" s="6">
        <v>299.8</v>
      </c>
      <c r="D41" s="10">
        <v>0.10798878999999989</v>
      </c>
      <c r="E41" s="6">
        <v>32.375039241999964</v>
      </c>
      <c r="F41" s="11">
        <v>3.5</v>
      </c>
      <c r="G41" s="6">
        <v>365.06</v>
      </c>
      <c r="H41" s="6">
        <v>7.05</v>
      </c>
      <c r="I41" s="4">
        <v>34</v>
      </c>
      <c r="J41" s="9">
        <v>44344.165277777778</v>
      </c>
      <c r="K41" s="6">
        <v>802.99</v>
      </c>
      <c r="L41" s="4">
        <v>1277.71</v>
      </c>
      <c r="M41" s="4" t="s">
        <v>9</v>
      </c>
      <c r="N41" s="6">
        <v>474.72</v>
      </c>
      <c r="O41" s="5">
        <v>0</v>
      </c>
      <c r="P41" s="6">
        <v>0</v>
      </c>
      <c r="Q41" s="5">
        <v>0</v>
      </c>
      <c r="T41" s="4">
        <v>37</v>
      </c>
      <c r="U41" s="8">
        <v>44347.978587962964</v>
      </c>
      <c r="V41" s="4">
        <v>7.4999999999999993E-5</v>
      </c>
      <c r="W41" s="6">
        <v>351.65</v>
      </c>
      <c r="X41" s="6">
        <v>0.02</v>
      </c>
      <c r="Y41" s="4">
        <v>2.6373749999999994E-2</v>
      </c>
      <c r="Z41" s="6">
        <v>0.01</v>
      </c>
      <c r="AA41" s="4">
        <v>0</v>
      </c>
      <c r="AB41" s="6">
        <v>0</v>
      </c>
      <c r="AC41" s="4">
        <v>0</v>
      </c>
    </row>
    <row r="42" spans="1:29" x14ac:dyDescent="0.35">
      <c r="A42" s="9">
        <v>44339.370138888888</v>
      </c>
      <c r="B42" s="4" t="s">
        <v>8</v>
      </c>
      <c r="C42" s="6">
        <v>240.58</v>
      </c>
      <c r="D42" s="10">
        <v>1.38</v>
      </c>
      <c r="E42" s="6">
        <v>332.00039999999996</v>
      </c>
      <c r="F42" s="11">
        <v>3.5</v>
      </c>
      <c r="G42" s="6">
        <v>365.06</v>
      </c>
      <c r="H42" s="6">
        <v>171.78</v>
      </c>
      <c r="I42" s="4">
        <v>34</v>
      </c>
      <c r="J42" s="9">
        <v>44344.165277777778</v>
      </c>
      <c r="K42" s="6">
        <v>802.99</v>
      </c>
      <c r="L42" s="4">
        <v>1277.71</v>
      </c>
      <c r="M42" s="4" t="s">
        <v>9</v>
      </c>
      <c r="N42" s="6">
        <v>474.72</v>
      </c>
      <c r="O42" s="5">
        <v>0</v>
      </c>
      <c r="P42" s="6">
        <v>0</v>
      </c>
      <c r="Q42" s="5">
        <v>0</v>
      </c>
      <c r="T42" s="4">
        <v>38</v>
      </c>
      <c r="U42" s="8">
        <v>44347.981076388889</v>
      </c>
      <c r="V42" s="4">
        <v>4.0749999999999996E-3</v>
      </c>
      <c r="W42" s="6">
        <v>351.32</v>
      </c>
      <c r="X42" s="6">
        <v>0.89</v>
      </c>
      <c r="Y42" s="4">
        <v>1.4316289999999998</v>
      </c>
      <c r="Z42" s="6">
        <v>0.54</v>
      </c>
      <c r="AA42" s="4">
        <v>0</v>
      </c>
      <c r="AB42" s="6">
        <v>0</v>
      </c>
      <c r="AC42" s="4">
        <v>0</v>
      </c>
    </row>
    <row r="43" spans="1:29" x14ac:dyDescent="0.35">
      <c r="A43" s="9">
        <v>44339.53125</v>
      </c>
      <c r="B43" s="4" t="s">
        <v>8</v>
      </c>
      <c r="C43" s="6">
        <v>218</v>
      </c>
      <c r="D43" s="10">
        <v>0.52</v>
      </c>
      <c r="E43" s="6">
        <v>113.36</v>
      </c>
      <c r="F43" s="11">
        <v>3.5</v>
      </c>
      <c r="G43" s="6">
        <v>365.06</v>
      </c>
      <c r="H43" s="6">
        <v>76.47</v>
      </c>
      <c r="I43" s="4">
        <v>34</v>
      </c>
      <c r="J43" s="9">
        <v>44344.165277777778</v>
      </c>
      <c r="K43" s="6">
        <v>802.99</v>
      </c>
      <c r="L43" s="4">
        <v>1277.71</v>
      </c>
      <c r="M43" s="4" t="s">
        <v>9</v>
      </c>
      <c r="N43" s="6">
        <v>474.72</v>
      </c>
      <c r="O43" s="5">
        <v>0</v>
      </c>
      <c r="P43" s="6">
        <v>0</v>
      </c>
      <c r="Q43" s="5">
        <v>0</v>
      </c>
      <c r="T43" s="4">
        <v>39</v>
      </c>
      <c r="U43" s="8">
        <v>44347.983113425929</v>
      </c>
      <c r="V43" s="4">
        <v>13.681322</v>
      </c>
      <c r="W43" s="6">
        <v>351.74</v>
      </c>
      <c r="X43" s="6">
        <v>4800.63</v>
      </c>
      <c r="Y43" s="4">
        <v>4812.2682002799993</v>
      </c>
      <c r="Z43" s="6">
        <v>19.22</v>
      </c>
      <c r="AA43" s="4">
        <v>0</v>
      </c>
      <c r="AB43" s="6">
        <v>-7.58</v>
      </c>
      <c r="AC43" s="4">
        <v>0</v>
      </c>
    </row>
    <row r="44" spans="1:29" x14ac:dyDescent="0.35">
      <c r="A44" s="9">
        <v>44339.53125</v>
      </c>
      <c r="B44" s="4" t="s">
        <v>8</v>
      </c>
      <c r="C44" s="6">
        <v>218</v>
      </c>
      <c r="D44" s="10">
        <v>1.38</v>
      </c>
      <c r="E44" s="6">
        <v>300.83999999999997</v>
      </c>
      <c r="F44" s="11">
        <v>3.5</v>
      </c>
      <c r="G44" s="6">
        <v>365.06</v>
      </c>
      <c r="H44" s="6">
        <v>202.94</v>
      </c>
      <c r="I44" s="4">
        <v>34</v>
      </c>
      <c r="J44" s="9">
        <v>44344.165277777778</v>
      </c>
      <c r="K44" s="6">
        <v>802.99</v>
      </c>
      <c r="L44" s="4">
        <v>1277.71</v>
      </c>
      <c r="M44" s="4" t="s">
        <v>9</v>
      </c>
      <c r="N44" s="6">
        <v>474.72</v>
      </c>
      <c r="O44" s="5">
        <v>0</v>
      </c>
      <c r="P44" s="6">
        <v>0</v>
      </c>
      <c r="Q44" s="5">
        <v>0</v>
      </c>
      <c r="T44" s="4">
        <v>40</v>
      </c>
      <c r="U44" s="8">
        <v>44347.983113425929</v>
      </c>
      <c r="V44" s="4">
        <v>6.7179999999999996E-4</v>
      </c>
      <c r="W44" s="6">
        <v>350.1</v>
      </c>
      <c r="X44" s="6">
        <v>0.24</v>
      </c>
      <c r="Y44" s="4">
        <v>0.23519718000000001</v>
      </c>
      <c r="Z44" s="6">
        <v>0</v>
      </c>
      <c r="AA44" s="4">
        <v>0</v>
      </c>
      <c r="AB44" s="6">
        <v>0</v>
      </c>
      <c r="AC44" s="4">
        <v>0</v>
      </c>
    </row>
    <row r="45" spans="1:29" x14ac:dyDescent="0.35">
      <c r="A45" s="9">
        <v>44339.53125</v>
      </c>
      <c r="B45" s="4" t="s">
        <v>8</v>
      </c>
      <c r="C45" s="6">
        <v>217.93</v>
      </c>
      <c r="D45" s="10">
        <v>0.11201121000000036</v>
      </c>
      <c r="E45" s="6">
        <v>24.410602995300078</v>
      </c>
      <c r="F45" s="11">
        <v>3.5</v>
      </c>
      <c r="G45" s="6">
        <v>365.06</v>
      </c>
      <c r="H45" s="6">
        <v>16.48</v>
      </c>
      <c r="I45" s="4">
        <v>34</v>
      </c>
      <c r="J45" s="9">
        <v>44344.165277777778</v>
      </c>
      <c r="K45" s="6">
        <v>802.99</v>
      </c>
      <c r="L45" s="4">
        <v>1277.71</v>
      </c>
      <c r="M45" s="4" t="s">
        <v>9</v>
      </c>
      <c r="N45" s="6">
        <v>474.72</v>
      </c>
      <c r="O45" s="5">
        <v>0</v>
      </c>
      <c r="P45" s="6">
        <v>0</v>
      </c>
      <c r="Q45" s="5">
        <v>0</v>
      </c>
      <c r="T45" s="4">
        <v>41</v>
      </c>
      <c r="U45" s="8">
        <v>44347.987361111111</v>
      </c>
      <c r="V45" s="4">
        <v>1.2042999999999999E-3</v>
      </c>
      <c r="W45" s="6">
        <v>352.1</v>
      </c>
      <c r="X45" s="6">
        <v>0.42</v>
      </c>
      <c r="Y45" s="4">
        <v>0.42403403000000001</v>
      </c>
      <c r="Z45" s="6">
        <v>0</v>
      </c>
      <c r="AA45" s="4">
        <v>0</v>
      </c>
      <c r="AB45" s="6">
        <v>0</v>
      </c>
      <c r="AC45" s="4">
        <v>0</v>
      </c>
    </row>
    <row r="46" spans="1:29" x14ac:dyDescent="0.35">
      <c r="A46" s="9">
        <v>44339.53125</v>
      </c>
      <c r="B46" s="4" t="s">
        <v>8</v>
      </c>
      <c r="C46" s="6">
        <v>217.93</v>
      </c>
      <c r="D46" s="10">
        <v>0.13001641659999999</v>
      </c>
      <c r="E46" s="6">
        <v>28.334477669637998</v>
      </c>
      <c r="F46" s="11">
        <v>0.13001641659999999</v>
      </c>
      <c r="G46" s="6">
        <v>365.06</v>
      </c>
      <c r="H46" s="6">
        <v>19.13</v>
      </c>
      <c r="I46" s="4">
        <v>35</v>
      </c>
      <c r="J46" s="9">
        <v>44344.165277777778</v>
      </c>
      <c r="K46" s="6">
        <v>28.33</v>
      </c>
      <c r="L46" s="4">
        <v>47.463793043995999</v>
      </c>
      <c r="M46" s="4" t="s">
        <v>9</v>
      </c>
      <c r="N46" s="6">
        <v>19.13</v>
      </c>
      <c r="O46" s="5">
        <v>0</v>
      </c>
      <c r="P46" s="6">
        <v>0</v>
      </c>
      <c r="Q46" s="5">
        <v>0</v>
      </c>
      <c r="T46" s="4">
        <v>42</v>
      </c>
      <c r="U46" s="8">
        <v>44376.565972222219</v>
      </c>
      <c r="V46" s="4">
        <v>9.0959999999999999E-4</v>
      </c>
      <c r="W46" s="6">
        <v>294.86</v>
      </c>
      <c r="X46" s="6">
        <v>0.32</v>
      </c>
      <c r="Y46" s="4">
        <v>0.26820465599999999</v>
      </c>
      <c r="Z46" s="6">
        <v>0</v>
      </c>
      <c r="AA46" s="4">
        <v>0</v>
      </c>
      <c r="AB46" s="6">
        <v>-0.05</v>
      </c>
      <c r="AC46" s="4">
        <v>0</v>
      </c>
    </row>
    <row r="47" spans="1:29" x14ac:dyDescent="0.35">
      <c r="A47" s="9">
        <v>44339.53125</v>
      </c>
      <c r="B47" s="4" t="s">
        <v>8</v>
      </c>
      <c r="C47" s="6">
        <v>217.93</v>
      </c>
      <c r="D47" s="10">
        <v>1.017E-2</v>
      </c>
      <c r="E47" s="6">
        <v>2.2163481000000003</v>
      </c>
      <c r="F47" s="11">
        <v>1.017E-2</v>
      </c>
      <c r="G47" s="6">
        <v>352.3</v>
      </c>
      <c r="H47" s="6">
        <v>1.37</v>
      </c>
      <c r="I47" s="4">
        <v>36</v>
      </c>
      <c r="J47" s="9">
        <v>44347.972037037034</v>
      </c>
      <c r="K47" s="6">
        <v>2.2200000000000002</v>
      </c>
      <c r="L47" s="4">
        <v>3.582891</v>
      </c>
      <c r="M47" s="4" t="s">
        <v>9</v>
      </c>
      <c r="N47" s="6">
        <v>1.37</v>
      </c>
      <c r="O47" s="5">
        <v>0</v>
      </c>
      <c r="P47" s="6">
        <v>0</v>
      </c>
      <c r="Q47" s="5">
        <v>0</v>
      </c>
      <c r="T47" s="4">
        <v>43</v>
      </c>
      <c r="U47" s="8">
        <v>44376.565972222219</v>
      </c>
      <c r="V47" s="4">
        <v>2.027E-2</v>
      </c>
      <c r="W47" s="6">
        <v>294.86</v>
      </c>
      <c r="X47" s="6">
        <v>7.28</v>
      </c>
      <c r="Y47" s="4">
        <v>5.9768122000000004</v>
      </c>
      <c r="Z47" s="6">
        <v>0</v>
      </c>
      <c r="AA47" s="4">
        <v>0</v>
      </c>
      <c r="AB47" s="6">
        <v>-1.3</v>
      </c>
      <c r="AC47" s="4">
        <v>0</v>
      </c>
    </row>
    <row r="48" spans="1:29" x14ac:dyDescent="0.35">
      <c r="A48" s="9">
        <v>44339.53125</v>
      </c>
      <c r="B48" s="4" t="s">
        <v>8</v>
      </c>
      <c r="C48" s="6">
        <v>217.93</v>
      </c>
      <c r="D48" s="10">
        <v>7.4999999999999993E-5</v>
      </c>
      <c r="E48" s="6">
        <v>1.6344749999999998E-2</v>
      </c>
      <c r="F48" s="11">
        <v>7.4999999999999993E-5</v>
      </c>
      <c r="G48" s="6">
        <v>351.65</v>
      </c>
      <c r="H48" s="6">
        <v>0.01</v>
      </c>
      <c r="I48" s="4">
        <v>37</v>
      </c>
      <c r="J48" s="9">
        <v>44347.978587962964</v>
      </c>
      <c r="K48" s="6">
        <v>0.02</v>
      </c>
      <c r="L48" s="4">
        <v>2.6373749999999994E-2</v>
      </c>
      <c r="M48" s="4" t="s">
        <v>9</v>
      </c>
      <c r="N48" s="6">
        <v>0.01</v>
      </c>
      <c r="O48" s="5">
        <v>0</v>
      </c>
      <c r="P48" s="6">
        <v>0</v>
      </c>
      <c r="Q48" s="5">
        <v>0</v>
      </c>
      <c r="T48" s="4">
        <v>44</v>
      </c>
      <c r="U48" s="8">
        <v>44543.472916666666</v>
      </c>
      <c r="V48" s="4">
        <v>7.1000000000000005E-5</v>
      </c>
      <c r="W48" s="6">
        <v>526.91</v>
      </c>
      <c r="X48" s="6">
        <v>0.04</v>
      </c>
      <c r="Y48" s="4">
        <v>3.7410609999999997E-2</v>
      </c>
      <c r="Z48" s="6">
        <v>0</v>
      </c>
      <c r="AA48" s="4">
        <v>0</v>
      </c>
      <c r="AB48" s="6">
        <v>0</v>
      </c>
      <c r="AC48" s="4">
        <v>0</v>
      </c>
    </row>
    <row r="49" spans="1:29" x14ac:dyDescent="0.35">
      <c r="A49" s="9">
        <v>44339.53125</v>
      </c>
      <c r="B49" s="4" t="s">
        <v>8</v>
      </c>
      <c r="C49" s="6">
        <v>217.93</v>
      </c>
      <c r="D49" s="10">
        <v>4.0749999999999996E-3</v>
      </c>
      <c r="E49" s="6">
        <v>0.88806474999999996</v>
      </c>
      <c r="F49" s="11">
        <v>4.0749999999999996E-3</v>
      </c>
      <c r="G49" s="6">
        <v>351.32</v>
      </c>
      <c r="H49" s="6">
        <v>0.54</v>
      </c>
      <c r="I49" s="4">
        <v>38</v>
      </c>
      <c r="J49" s="9">
        <v>44347.981076388889</v>
      </c>
      <c r="K49" s="6">
        <v>0.89</v>
      </c>
      <c r="L49" s="4">
        <v>1.4316289999999998</v>
      </c>
      <c r="M49" s="4" t="s">
        <v>9</v>
      </c>
      <c r="N49" s="6">
        <v>0.54</v>
      </c>
      <c r="O49" s="5">
        <v>0</v>
      </c>
      <c r="P49" s="6">
        <v>0</v>
      </c>
      <c r="Q49" s="5">
        <v>0</v>
      </c>
      <c r="T49" s="4">
        <v>45</v>
      </c>
      <c r="U49" s="8">
        <v>44545.864583333336</v>
      </c>
      <c r="V49" s="4">
        <v>7.1000000000000005E-5</v>
      </c>
      <c r="W49" s="6">
        <v>530.19000000000005</v>
      </c>
      <c r="X49" s="6">
        <v>0.04</v>
      </c>
      <c r="Y49" s="4">
        <v>3.7643490000000009E-2</v>
      </c>
      <c r="Z49" s="6">
        <v>0</v>
      </c>
      <c r="AA49" s="4">
        <v>0</v>
      </c>
      <c r="AB49" s="6">
        <v>0</v>
      </c>
      <c r="AC49" s="4">
        <v>0</v>
      </c>
    </row>
    <row r="50" spans="1:29" x14ac:dyDescent="0.35">
      <c r="A50" s="9">
        <v>44339.53125</v>
      </c>
      <c r="B50" s="4" t="s">
        <v>8</v>
      </c>
      <c r="C50" s="6">
        <v>217.93</v>
      </c>
      <c r="D50" s="10">
        <v>0.14365237339999967</v>
      </c>
      <c r="E50" s="6">
        <v>31.306161735061927</v>
      </c>
      <c r="F50" s="11">
        <v>13.681322</v>
      </c>
      <c r="G50" s="6">
        <v>351.74</v>
      </c>
      <c r="H50" s="6">
        <v>19.22</v>
      </c>
      <c r="I50" s="4">
        <v>39</v>
      </c>
      <c r="J50" s="9">
        <v>44347.983113425929</v>
      </c>
      <c r="K50" s="6">
        <v>4800.63</v>
      </c>
      <c r="L50" s="4">
        <v>4812.2682002799993</v>
      </c>
      <c r="M50" s="4" t="s">
        <v>9</v>
      </c>
      <c r="N50" s="6">
        <v>19.22</v>
      </c>
      <c r="O50" s="5">
        <v>0</v>
      </c>
      <c r="P50" s="6">
        <v>-7.58</v>
      </c>
      <c r="Q50" s="5">
        <v>0</v>
      </c>
      <c r="T50" s="4">
        <v>46</v>
      </c>
      <c r="U50" s="8">
        <v>44551.440972222219</v>
      </c>
      <c r="V50" s="4">
        <v>3.3322499999999998E-4</v>
      </c>
      <c r="W50" s="6">
        <v>510.17</v>
      </c>
      <c r="X50" s="6">
        <v>0.18</v>
      </c>
      <c r="Y50" s="4">
        <v>0.16999999870499999</v>
      </c>
      <c r="Z50" s="6">
        <v>0</v>
      </c>
      <c r="AA50" s="4">
        <v>0</v>
      </c>
      <c r="AB50" s="6">
        <v>-0.01</v>
      </c>
      <c r="AC50" s="4">
        <v>0</v>
      </c>
    </row>
    <row r="51" spans="1:29" x14ac:dyDescent="0.35">
      <c r="A51" s="9">
        <v>44347.972037037034</v>
      </c>
      <c r="B51" s="4" t="s">
        <v>8</v>
      </c>
      <c r="C51" s="6">
        <v>352.3</v>
      </c>
      <c r="D51" s="10">
        <v>3.03</v>
      </c>
      <c r="E51" s="6">
        <v>1067.4689999999998</v>
      </c>
      <c r="F51" s="11">
        <v>13.681322</v>
      </c>
      <c r="G51" s="6">
        <v>351.74</v>
      </c>
      <c r="H51" s="6">
        <v>-1.7</v>
      </c>
      <c r="I51" s="4">
        <v>39</v>
      </c>
      <c r="J51" s="9">
        <v>44347.983113425929</v>
      </c>
      <c r="K51" s="6">
        <v>4800.63</v>
      </c>
      <c r="L51" s="4">
        <v>4812.2682002799993</v>
      </c>
      <c r="M51" s="4" t="s">
        <v>9</v>
      </c>
      <c r="N51" s="6">
        <v>19.22</v>
      </c>
      <c r="O51" s="5">
        <v>0</v>
      </c>
      <c r="P51" s="6">
        <v>-7.58</v>
      </c>
      <c r="Q51" s="5">
        <v>0</v>
      </c>
      <c r="T51" s="4">
        <v>47</v>
      </c>
      <c r="U51" s="8">
        <v>44551.441666666666</v>
      </c>
      <c r="V51" s="4">
        <v>1.9275850000000001E-3</v>
      </c>
      <c r="W51" s="6">
        <v>510.17</v>
      </c>
      <c r="X51" s="6">
        <v>1.04</v>
      </c>
      <c r="Y51" s="4">
        <v>0.98338794359300008</v>
      </c>
      <c r="Z51" s="6">
        <v>0</v>
      </c>
      <c r="AA51" s="4">
        <v>0</v>
      </c>
      <c r="AB51" s="6">
        <v>-0.05</v>
      </c>
      <c r="AC51" s="4">
        <v>0</v>
      </c>
    </row>
    <row r="52" spans="1:29" x14ac:dyDescent="0.35">
      <c r="A52" s="9">
        <v>44347.972037037034</v>
      </c>
      <c r="B52" s="4" t="s">
        <v>8</v>
      </c>
      <c r="C52" s="6">
        <v>352.3</v>
      </c>
      <c r="D52" s="10">
        <v>2.59</v>
      </c>
      <c r="E52" s="6">
        <v>912.45699999999999</v>
      </c>
      <c r="F52" s="11">
        <v>13.681322</v>
      </c>
      <c r="G52" s="6">
        <v>351.74</v>
      </c>
      <c r="H52" s="6">
        <v>-1.45</v>
      </c>
      <c r="I52" s="4">
        <v>39</v>
      </c>
      <c r="J52" s="9">
        <v>44347.983113425929</v>
      </c>
      <c r="K52" s="6">
        <v>4800.63</v>
      </c>
      <c r="L52" s="4">
        <v>4812.2682002799993</v>
      </c>
      <c r="M52" s="4" t="s">
        <v>9</v>
      </c>
      <c r="N52" s="6">
        <v>19.22</v>
      </c>
      <c r="O52" s="5">
        <v>0</v>
      </c>
      <c r="P52" s="6">
        <v>-7.58</v>
      </c>
      <c r="Q52" s="5">
        <v>0</v>
      </c>
      <c r="T52" s="4">
        <v>48</v>
      </c>
      <c r="U52" s="8">
        <v>44551.441666666666</v>
      </c>
      <c r="V52" s="4">
        <v>2.0000000000000001E-4</v>
      </c>
      <c r="W52" s="6">
        <v>510.17</v>
      </c>
      <c r="X52" s="6">
        <v>0.11</v>
      </c>
      <c r="Y52" s="4">
        <v>0.10203316</v>
      </c>
      <c r="Z52" s="6">
        <v>0</v>
      </c>
      <c r="AA52" s="4">
        <v>0</v>
      </c>
      <c r="AB52" s="6">
        <v>-0.01</v>
      </c>
      <c r="AC52" s="4">
        <v>0</v>
      </c>
    </row>
    <row r="53" spans="1:29" x14ac:dyDescent="0.35">
      <c r="A53" s="9">
        <v>44347.972037037034</v>
      </c>
      <c r="B53" s="4" t="s">
        <v>8</v>
      </c>
      <c r="C53" s="6">
        <v>352.3</v>
      </c>
      <c r="D53" s="10">
        <v>7.9176696266000004</v>
      </c>
      <c r="E53" s="6">
        <v>2789.3950094511802</v>
      </c>
      <c r="F53" s="11">
        <v>13.681322</v>
      </c>
      <c r="G53" s="6">
        <v>351.74</v>
      </c>
      <c r="H53" s="6">
        <v>-4.43</v>
      </c>
      <c r="I53" s="4">
        <v>39</v>
      </c>
      <c r="J53" s="9">
        <v>44347.983113425929</v>
      </c>
      <c r="K53" s="6">
        <v>4800.63</v>
      </c>
      <c r="L53" s="4">
        <v>4812.2682002799993</v>
      </c>
      <c r="M53" s="4" t="s">
        <v>9</v>
      </c>
      <c r="N53" s="6">
        <v>19.22</v>
      </c>
      <c r="O53" s="5">
        <v>0</v>
      </c>
      <c r="P53" s="6">
        <v>-7.58</v>
      </c>
      <c r="Q53" s="5">
        <v>0</v>
      </c>
      <c r="T53" s="4">
        <v>49</v>
      </c>
      <c r="U53" s="8">
        <v>44551.442361111112</v>
      </c>
      <c r="V53" s="4">
        <v>5.0000000000000001E-3</v>
      </c>
      <c r="W53" s="6">
        <v>510.17</v>
      </c>
      <c r="X53" s="6">
        <v>2.69</v>
      </c>
      <c r="Y53" s="4">
        <v>2.5508289999999998</v>
      </c>
      <c r="Z53" s="6">
        <v>0</v>
      </c>
      <c r="AA53" s="4">
        <v>0</v>
      </c>
      <c r="AB53" s="6">
        <v>-0.14000000000000001</v>
      </c>
      <c r="AC53" s="4">
        <v>0</v>
      </c>
    </row>
    <row r="54" spans="1:29" x14ac:dyDescent="0.35">
      <c r="A54" s="9">
        <v>44347.972037037034</v>
      </c>
      <c r="B54" s="4" t="s">
        <v>8</v>
      </c>
      <c r="C54" s="6">
        <v>352.3</v>
      </c>
      <c r="D54" s="10">
        <v>6.7179999999999996E-4</v>
      </c>
      <c r="E54" s="6">
        <v>0.23667513999999998</v>
      </c>
      <c r="F54" s="11">
        <v>6.7179999999999996E-4</v>
      </c>
      <c r="G54" s="6">
        <v>350.1</v>
      </c>
      <c r="H54" s="6">
        <v>0</v>
      </c>
      <c r="I54" s="4">
        <v>40</v>
      </c>
      <c r="J54" s="9">
        <v>44347.983113425929</v>
      </c>
      <c r="K54" s="6">
        <v>0.24</v>
      </c>
      <c r="L54" s="4">
        <v>0.23519718000000001</v>
      </c>
      <c r="M54" s="4" t="s">
        <v>9</v>
      </c>
      <c r="N54" s="6">
        <v>0</v>
      </c>
      <c r="O54" s="5">
        <v>0</v>
      </c>
      <c r="P54" s="6">
        <v>0</v>
      </c>
      <c r="Q54" s="5">
        <v>0</v>
      </c>
      <c r="T54" s="4">
        <v>50</v>
      </c>
      <c r="U54" s="8">
        <v>44551.481249999997</v>
      </c>
      <c r="V54" s="4">
        <v>4.2549999999999997E-5</v>
      </c>
      <c r="W54" s="6">
        <v>534.04</v>
      </c>
      <c r="X54" s="6">
        <v>0.02</v>
      </c>
      <c r="Y54" s="4">
        <v>2.2723401999999997E-2</v>
      </c>
      <c r="Z54" s="6">
        <v>0</v>
      </c>
      <c r="AA54" s="4">
        <v>0</v>
      </c>
      <c r="AB54" s="6">
        <v>0</v>
      </c>
      <c r="AC54" s="4">
        <v>0</v>
      </c>
    </row>
    <row r="55" spans="1:29" x14ac:dyDescent="0.35">
      <c r="A55" s="9">
        <v>44347.972037037034</v>
      </c>
      <c r="B55" s="4" t="s">
        <v>8</v>
      </c>
      <c r="C55" s="6">
        <v>352.3</v>
      </c>
      <c r="D55" s="10">
        <v>1.2042999999999999E-3</v>
      </c>
      <c r="E55" s="6">
        <v>0.42427488999999996</v>
      </c>
      <c r="F55" s="11">
        <v>1.2042999999999999E-3</v>
      </c>
      <c r="G55" s="6">
        <v>352.1</v>
      </c>
      <c r="H55" s="6">
        <v>0</v>
      </c>
      <c r="I55" s="4">
        <v>41</v>
      </c>
      <c r="J55" s="9">
        <v>44347.987361111111</v>
      </c>
      <c r="K55" s="6">
        <v>0.42</v>
      </c>
      <c r="L55" s="4">
        <v>0.42403403000000001</v>
      </c>
      <c r="M55" s="4" t="s">
        <v>9</v>
      </c>
      <c r="N55" s="6">
        <v>0</v>
      </c>
      <c r="O55" s="5">
        <v>0</v>
      </c>
      <c r="P55" s="6">
        <v>0</v>
      </c>
      <c r="Q55" s="5">
        <v>0</v>
      </c>
      <c r="T55" s="4">
        <v>51</v>
      </c>
      <c r="U55" s="8">
        <v>44553.38958333333</v>
      </c>
      <c r="V55" s="4">
        <v>1.3689E-4</v>
      </c>
      <c r="W55" s="6">
        <v>524.52</v>
      </c>
      <c r="X55" s="6">
        <v>7.0000000000000007E-2</v>
      </c>
      <c r="Y55" s="4">
        <v>7.1801542799999993E-2</v>
      </c>
      <c r="Z55" s="6">
        <v>0</v>
      </c>
      <c r="AA55" s="4">
        <v>0</v>
      </c>
      <c r="AB55" s="6">
        <v>0</v>
      </c>
      <c r="AC55" s="4">
        <v>0</v>
      </c>
    </row>
    <row r="56" spans="1:29" x14ac:dyDescent="0.35">
      <c r="A56" s="9">
        <v>44347.972037037034</v>
      </c>
      <c r="B56" s="4" t="s">
        <v>8</v>
      </c>
      <c r="C56" s="6">
        <v>352.3</v>
      </c>
      <c r="D56" s="10">
        <v>9.0959999999999999E-4</v>
      </c>
      <c r="E56" s="6">
        <v>0.32045207999999997</v>
      </c>
      <c r="F56" s="11">
        <v>9.0959999999999999E-4</v>
      </c>
      <c r="G56" s="6">
        <v>294.86</v>
      </c>
      <c r="H56" s="6">
        <v>-0.05</v>
      </c>
      <c r="I56" s="4">
        <v>42</v>
      </c>
      <c r="J56" s="9">
        <v>44376.565972222219</v>
      </c>
      <c r="K56" s="6">
        <v>0.32</v>
      </c>
      <c r="L56" s="4">
        <v>0.26820465599999999</v>
      </c>
      <c r="M56" s="4" t="s">
        <v>9</v>
      </c>
      <c r="N56" s="6">
        <v>0</v>
      </c>
      <c r="O56" s="5">
        <v>0</v>
      </c>
      <c r="P56" s="6">
        <v>-0.05</v>
      </c>
      <c r="Q56" s="5">
        <v>0</v>
      </c>
      <c r="T56" s="4">
        <v>52</v>
      </c>
      <c r="U56" s="8">
        <v>44560.5625</v>
      </c>
      <c r="V56" s="4">
        <v>1.7263000000000001E-4</v>
      </c>
      <c r="W56" s="6">
        <v>521.69000000000005</v>
      </c>
      <c r="X56" s="6">
        <v>0.09</v>
      </c>
      <c r="Y56" s="4">
        <v>9.0059344700000016E-2</v>
      </c>
      <c r="Z56" s="6">
        <v>0</v>
      </c>
      <c r="AA56" s="4">
        <v>0</v>
      </c>
      <c r="AB56" s="6">
        <v>0</v>
      </c>
      <c r="AC56" s="4">
        <v>0</v>
      </c>
    </row>
    <row r="57" spans="1:29" x14ac:dyDescent="0.35">
      <c r="A57" s="9">
        <v>44347.972037037034</v>
      </c>
      <c r="B57" s="4" t="s">
        <v>8</v>
      </c>
      <c r="C57" s="6">
        <v>352.3</v>
      </c>
      <c r="D57" s="10">
        <v>1.9544673399999993E-2</v>
      </c>
      <c r="E57" s="6">
        <v>6.8855884388199975</v>
      </c>
      <c r="F57" s="11">
        <v>2.027E-2</v>
      </c>
      <c r="G57" s="6">
        <v>294.86</v>
      </c>
      <c r="H57" s="6">
        <v>-1.1200000000000001</v>
      </c>
      <c r="I57" s="4">
        <v>43</v>
      </c>
      <c r="J57" s="9">
        <v>44376.565972222219</v>
      </c>
      <c r="K57" s="6">
        <v>7.28</v>
      </c>
      <c r="L57" s="4">
        <v>5.9768122000000004</v>
      </c>
      <c r="M57" s="4" t="s">
        <v>9</v>
      </c>
      <c r="N57" s="6">
        <v>0</v>
      </c>
      <c r="O57" s="5">
        <v>0</v>
      </c>
      <c r="P57" s="6">
        <v>-1.3</v>
      </c>
      <c r="Q57" s="5">
        <v>0</v>
      </c>
      <c r="T57" s="4">
        <v>53</v>
      </c>
      <c r="U57" s="8">
        <v>44560.5625</v>
      </c>
      <c r="V57" s="4">
        <v>1.7995000000000001E-4</v>
      </c>
      <c r="W57" s="6">
        <v>521.69000000000005</v>
      </c>
      <c r="X57" s="6">
        <v>0.1</v>
      </c>
      <c r="Y57" s="4">
        <v>9.3878115500000012E-2</v>
      </c>
      <c r="Z57" s="6">
        <v>0</v>
      </c>
      <c r="AA57" s="4">
        <v>0</v>
      </c>
      <c r="AB57" s="6">
        <v>0</v>
      </c>
      <c r="AC57" s="4">
        <v>0</v>
      </c>
    </row>
    <row r="58" spans="1:29" x14ac:dyDescent="0.35">
      <c r="A58" s="9">
        <v>44545.843055555553</v>
      </c>
      <c r="B58" s="4" t="s">
        <v>8</v>
      </c>
      <c r="C58" s="6">
        <v>537.84</v>
      </c>
      <c r="D58" s="10">
        <v>7.2532660000000637E-4</v>
      </c>
      <c r="E58" s="6">
        <v>0.39010965854400342</v>
      </c>
      <c r="F58" s="11">
        <v>2.027E-2</v>
      </c>
      <c r="G58" s="6">
        <v>294.86</v>
      </c>
      <c r="H58" s="6">
        <v>-0.18</v>
      </c>
      <c r="I58" s="4">
        <v>43</v>
      </c>
      <c r="J58" s="9">
        <v>44376.565972222219</v>
      </c>
      <c r="K58" s="6">
        <v>7.28</v>
      </c>
      <c r="L58" s="4">
        <v>5.9768122000000004</v>
      </c>
      <c r="M58" s="4" t="s">
        <v>9</v>
      </c>
      <c r="N58" s="6">
        <v>0</v>
      </c>
      <c r="O58" s="5">
        <v>0</v>
      </c>
      <c r="P58" s="6">
        <v>-1.3</v>
      </c>
      <c r="Q58" s="5">
        <v>0</v>
      </c>
      <c r="T58" s="4">
        <v>54</v>
      </c>
      <c r="U58" s="8">
        <v>44560.5625</v>
      </c>
      <c r="V58" s="4">
        <v>7.8990000000000001E-5</v>
      </c>
      <c r="W58" s="6">
        <v>521.69000000000005</v>
      </c>
      <c r="X58" s="6">
        <v>0.04</v>
      </c>
      <c r="Y58" s="4">
        <v>4.1208293100000008E-2</v>
      </c>
      <c r="Z58" s="6">
        <v>0</v>
      </c>
      <c r="AA58" s="4">
        <v>0</v>
      </c>
      <c r="AB58" s="6">
        <v>0</v>
      </c>
      <c r="AC58" s="4">
        <v>0</v>
      </c>
    </row>
    <row r="59" spans="1:29" x14ac:dyDescent="0.35">
      <c r="A59" s="9">
        <v>44545.843055555553</v>
      </c>
      <c r="B59" s="4" t="s">
        <v>8</v>
      </c>
      <c r="C59" s="6">
        <v>537.84</v>
      </c>
      <c r="D59" s="10">
        <v>7.1000000000000005E-5</v>
      </c>
      <c r="E59" s="6">
        <v>3.8186640000000001E-2</v>
      </c>
      <c r="F59" s="11">
        <v>7.1000000000000005E-5</v>
      </c>
      <c r="G59" s="6">
        <v>526.91</v>
      </c>
      <c r="H59" s="6">
        <v>0</v>
      </c>
      <c r="I59" s="4">
        <v>44</v>
      </c>
      <c r="J59" s="9">
        <v>44543.472916666666</v>
      </c>
      <c r="K59" s="6">
        <v>0.04</v>
      </c>
      <c r="L59" s="4">
        <v>3.7410609999999997E-2</v>
      </c>
      <c r="M59" s="4" t="s">
        <v>9</v>
      </c>
      <c r="N59" s="6">
        <v>0</v>
      </c>
      <c r="O59" s="5">
        <v>0</v>
      </c>
      <c r="P59" s="6">
        <v>0</v>
      </c>
      <c r="Q59" s="5">
        <v>0</v>
      </c>
      <c r="T59" s="4">
        <v>55</v>
      </c>
      <c r="U59" s="8">
        <v>44641</v>
      </c>
      <c r="V59" s="4">
        <v>11.389999999999999</v>
      </c>
      <c r="W59" s="6">
        <v>400</v>
      </c>
      <c r="X59" s="6">
        <v>5698.87</v>
      </c>
      <c r="Y59" s="4">
        <v>4467.3138746377999</v>
      </c>
      <c r="Z59" s="6">
        <v>0.01</v>
      </c>
      <c r="AA59" s="4">
        <v>0</v>
      </c>
      <c r="AB59" s="6">
        <v>-1231.58</v>
      </c>
      <c r="AC59" s="4">
        <v>0</v>
      </c>
    </row>
    <row r="60" spans="1:29" x14ac:dyDescent="0.35">
      <c r="A60" s="9">
        <v>44545.843055555553</v>
      </c>
      <c r="B60" s="4" t="s">
        <v>8</v>
      </c>
      <c r="C60" s="6">
        <v>537.84</v>
      </c>
      <c r="D60" s="10">
        <v>7.1000000000000005E-5</v>
      </c>
      <c r="E60" s="6">
        <v>3.8186640000000001E-2</v>
      </c>
      <c r="F60" s="11">
        <v>7.1000000000000005E-5</v>
      </c>
      <c r="G60" s="6">
        <v>530.19000000000005</v>
      </c>
      <c r="H60" s="6">
        <v>0</v>
      </c>
      <c r="I60" s="4">
        <v>45</v>
      </c>
      <c r="J60" s="9">
        <v>44545.864583333336</v>
      </c>
      <c r="K60" s="6">
        <v>0.04</v>
      </c>
      <c r="L60" s="4">
        <v>3.7643490000000009E-2</v>
      </c>
      <c r="M60" s="4" t="s">
        <v>9</v>
      </c>
      <c r="N60" s="6">
        <v>0</v>
      </c>
      <c r="O60" s="5">
        <v>0</v>
      </c>
      <c r="P60" s="6">
        <v>0</v>
      </c>
      <c r="Q60" s="5">
        <v>0</v>
      </c>
    </row>
    <row r="61" spans="1:29" x14ac:dyDescent="0.35">
      <c r="A61" s="9">
        <v>44545.843055555553</v>
      </c>
      <c r="B61" s="4" t="s">
        <v>8</v>
      </c>
      <c r="C61" s="6">
        <v>537.84</v>
      </c>
      <c r="D61" s="10">
        <v>3.3322499999999998E-4</v>
      </c>
      <c r="E61" s="6">
        <v>0.17922173399999999</v>
      </c>
      <c r="F61" s="11">
        <v>3.3322499999999998E-4</v>
      </c>
      <c r="G61" s="6">
        <v>510.16579999999999</v>
      </c>
      <c r="H61" s="6">
        <v>-0.01</v>
      </c>
      <c r="I61" s="4">
        <v>46</v>
      </c>
      <c r="J61" s="9">
        <v>44551.440972222219</v>
      </c>
      <c r="K61" s="6">
        <v>0.18</v>
      </c>
      <c r="L61" s="4">
        <v>0.16999999870499999</v>
      </c>
      <c r="M61" s="4" t="s">
        <v>9</v>
      </c>
      <c r="N61" s="6">
        <v>0</v>
      </c>
      <c r="O61" s="5">
        <v>0</v>
      </c>
      <c r="P61" s="6">
        <v>-0.01</v>
      </c>
      <c r="Q61" s="5">
        <v>0</v>
      </c>
    </row>
    <row r="62" spans="1:29" x14ac:dyDescent="0.35">
      <c r="A62" s="9">
        <v>44545.843055555553</v>
      </c>
      <c r="B62" s="4" t="s">
        <v>8</v>
      </c>
      <c r="C62" s="6">
        <v>537.84</v>
      </c>
      <c r="D62" s="10">
        <v>1.9275850000000001E-3</v>
      </c>
      <c r="E62" s="6">
        <v>1.0367323164</v>
      </c>
      <c r="F62" s="11">
        <v>1.9275850000000001E-3</v>
      </c>
      <c r="G62" s="6">
        <v>510.16579999999999</v>
      </c>
      <c r="H62" s="6">
        <v>-0.05</v>
      </c>
      <c r="I62" s="4">
        <v>47</v>
      </c>
      <c r="J62" s="9">
        <v>44551.441666666666</v>
      </c>
      <c r="K62" s="6">
        <v>1.04</v>
      </c>
      <c r="L62" s="4">
        <v>0.98338794359300008</v>
      </c>
      <c r="M62" s="4" t="s">
        <v>9</v>
      </c>
      <c r="N62" s="6">
        <v>0</v>
      </c>
      <c r="O62" s="5">
        <v>0</v>
      </c>
      <c r="P62" s="6">
        <v>-0.05</v>
      </c>
      <c r="Q62" s="5">
        <v>0</v>
      </c>
    </row>
    <row r="63" spans="1:29" x14ac:dyDescent="0.35">
      <c r="A63" s="9">
        <v>44545.843055555553</v>
      </c>
      <c r="B63" s="4" t="s">
        <v>8</v>
      </c>
      <c r="C63" s="6">
        <v>537.84</v>
      </c>
      <c r="D63" s="10">
        <v>2.0000000000000001E-4</v>
      </c>
      <c r="E63" s="6">
        <v>0.10756800000000001</v>
      </c>
      <c r="F63" s="11">
        <v>2.0000000000000001E-4</v>
      </c>
      <c r="G63" s="6">
        <v>510.16579999999999</v>
      </c>
      <c r="H63" s="6">
        <v>-0.01</v>
      </c>
      <c r="I63" s="4">
        <v>48</v>
      </c>
      <c r="J63" s="9">
        <v>44551.441666666666</v>
      </c>
      <c r="K63" s="6">
        <v>0.11</v>
      </c>
      <c r="L63" s="4">
        <v>0.10203316</v>
      </c>
      <c r="M63" s="4" t="s">
        <v>9</v>
      </c>
      <c r="N63" s="6">
        <v>0</v>
      </c>
      <c r="O63" s="5">
        <v>0</v>
      </c>
      <c r="P63" s="6">
        <v>-0.01</v>
      </c>
      <c r="Q63" s="5">
        <v>0</v>
      </c>
    </row>
    <row r="64" spans="1:29" x14ac:dyDescent="0.35">
      <c r="A64" s="9">
        <v>44545.843055555553</v>
      </c>
      <c r="B64" s="4" t="s">
        <v>8</v>
      </c>
      <c r="C64" s="6">
        <v>537.84</v>
      </c>
      <c r="D64" s="10">
        <v>5.0000000000000001E-3</v>
      </c>
      <c r="E64" s="6">
        <v>2.6892</v>
      </c>
      <c r="F64" s="11">
        <v>5.0000000000000001E-3</v>
      </c>
      <c r="G64" s="6">
        <v>510.16579999999999</v>
      </c>
      <c r="H64" s="6">
        <v>-0.14000000000000001</v>
      </c>
      <c r="I64" s="4">
        <v>49</v>
      </c>
      <c r="J64" s="9">
        <v>44551.442361111112</v>
      </c>
      <c r="K64" s="6">
        <v>2.69</v>
      </c>
      <c r="L64" s="4">
        <v>2.5508289999999998</v>
      </c>
      <c r="M64" s="4" t="s">
        <v>9</v>
      </c>
      <c r="N64" s="6">
        <v>0</v>
      </c>
      <c r="O64" s="5">
        <v>0</v>
      </c>
      <c r="P64" s="6">
        <v>-0.14000000000000001</v>
      </c>
      <c r="Q64" s="5">
        <v>0</v>
      </c>
    </row>
    <row r="65" spans="1:17" x14ac:dyDescent="0.35">
      <c r="A65" s="9">
        <v>44545.843055555553</v>
      </c>
      <c r="B65" s="4" t="s">
        <v>8</v>
      </c>
      <c r="C65" s="6">
        <v>537.84</v>
      </c>
      <c r="D65" s="10">
        <v>4.2549999999999997E-5</v>
      </c>
      <c r="E65" s="6">
        <v>2.2885091999999999E-2</v>
      </c>
      <c r="F65" s="11">
        <v>4.2549999999999997E-5</v>
      </c>
      <c r="G65" s="6">
        <v>534.04</v>
      </c>
      <c r="H65" s="6">
        <v>0</v>
      </c>
      <c r="I65" s="4">
        <v>50</v>
      </c>
      <c r="J65" s="9">
        <v>44551.481249999997</v>
      </c>
      <c r="K65" s="6">
        <v>0.02</v>
      </c>
      <c r="L65" s="4">
        <v>2.2723401999999997E-2</v>
      </c>
      <c r="M65" s="4" t="s">
        <v>9</v>
      </c>
      <c r="N65" s="6">
        <v>0</v>
      </c>
      <c r="O65" s="5">
        <v>0</v>
      </c>
      <c r="P65" s="6">
        <v>0</v>
      </c>
      <c r="Q65" s="5">
        <v>0</v>
      </c>
    </row>
    <row r="66" spans="1:17" x14ac:dyDescent="0.35">
      <c r="A66" s="9">
        <v>44545.843055555553</v>
      </c>
      <c r="B66" s="4" t="s">
        <v>8</v>
      </c>
      <c r="C66" s="6">
        <v>537.84</v>
      </c>
      <c r="D66" s="10">
        <v>1.3689E-4</v>
      </c>
      <c r="E66" s="6">
        <v>7.3624917600000006E-2</v>
      </c>
      <c r="F66" s="11">
        <v>1.3689E-4</v>
      </c>
      <c r="G66" s="6">
        <v>524.52</v>
      </c>
      <c r="H66" s="6">
        <v>0</v>
      </c>
      <c r="I66" s="4">
        <v>51</v>
      </c>
      <c r="J66" s="9">
        <v>44553.38958333333</v>
      </c>
      <c r="K66" s="6">
        <v>7.0000000000000007E-2</v>
      </c>
      <c r="L66" s="4">
        <v>7.1801542799999993E-2</v>
      </c>
      <c r="M66" s="4" t="s">
        <v>9</v>
      </c>
      <c r="N66" s="6">
        <v>0</v>
      </c>
      <c r="O66" s="5">
        <v>0</v>
      </c>
      <c r="P66" s="6">
        <v>0</v>
      </c>
      <c r="Q66" s="5">
        <v>0</v>
      </c>
    </row>
    <row r="67" spans="1:17" x14ac:dyDescent="0.35">
      <c r="A67" s="9">
        <v>44545.843055555553</v>
      </c>
      <c r="B67" s="4" t="s">
        <v>8</v>
      </c>
      <c r="C67" s="6">
        <v>537.84</v>
      </c>
      <c r="D67" s="10">
        <v>1.7263000000000001E-4</v>
      </c>
      <c r="E67" s="6">
        <v>9.28473192E-2</v>
      </c>
      <c r="F67" s="11">
        <v>1.7263000000000001E-4</v>
      </c>
      <c r="G67" s="6">
        <v>521.69000000000005</v>
      </c>
      <c r="H67" s="6">
        <v>0</v>
      </c>
      <c r="I67" s="4">
        <v>52</v>
      </c>
      <c r="J67" s="9">
        <v>44560.5625</v>
      </c>
      <c r="K67" s="6">
        <v>0.09</v>
      </c>
      <c r="L67" s="4">
        <v>9.0059344700000016E-2</v>
      </c>
      <c r="M67" s="4" t="s">
        <v>9</v>
      </c>
      <c r="N67" s="6">
        <v>0</v>
      </c>
      <c r="O67" s="5">
        <v>0</v>
      </c>
      <c r="P67" s="6">
        <v>0</v>
      </c>
      <c r="Q67" s="5">
        <v>0</v>
      </c>
    </row>
    <row r="68" spans="1:17" x14ac:dyDescent="0.35">
      <c r="A68" s="9">
        <v>44545.843055555553</v>
      </c>
      <c r="B68" s="4" t="s">
        <v>8</v>
      </c>
      <c r="C68" s="6">
        <v>537.84</v>
      </c>
      <c r="D68" s="10">
        <v>1.7995000000000001E-4</v>
      </c>
      <c r="E68" s="6">
        <v>9.6784307999999999E-2</v>
      </c>
      <c r="F68" s="11">
        <v>1.7995000000000001E-4</v>
      </c>
      <c r="G68" s="6">
        <v>521.69000000000005</v>
      </c>
      <c r="H68" s="6">
        <v>0</v>
      </c>
      <c r="I68" s="4">
        <v>53</v>
      </c>
      <c r="J68" s="9">
        <v>44560.5625</v>
      </c>
      <c r="K68" s="6">
        <v>0.1</v>
      </c>
      <c r="L68" s="4">
        <v>9.3878115500000012E-2</v>
      </c>
      <c r="M68" s="4" t="s">
        <v>9</v>
      </c>
      <c r="N68" s="6">
        <v>0</v>
      </c>
      <c r="O68" s="5">
        <v>0</v>
      </c>
      <c r="P68" s="6">
        <v>0</v>
      </c>
      <c r="Q68" s="5">
        <v>0</v>
      </c>
    </row>
    <row r="69" spans="1:17" x14ac:dyDescent="0.35">
      <c r="A69" s="9">
        <v>44545.843055555553</v>
      </c>
      <c r="B69" s="4" t="s">
        <v>8</v>
      </c>
      <c r="C69" s="6">
        <v>537.84</v>
      </c>
      <c r="D69" s="10">
        <v>7.8990000000000001E-5</v>
      </c>
      <c r="E69" s="6">
        <v>4.2483981599999998E-2</v>
      </c>
      <c r="F69" s="11">
        <v>7.8990000000000001E-5</v>
      </c>
      <c r="G69" s="6">
        <v>521.69000000000005</v>
      </c>
      <c r="H69" s="6">
        <v>0</v>
      </c>
      <c r="I69" s="4">
        <v>54</v>
      </c>
      <c r="J69" s="9">
        <v>44560.5625</v>
      </c>
      <c r="K69" s="6">
        <v>0.04</v>
      </c>
      <c r="L69" s="4">
        <v>4.1208293100000008E-2</v>
      </c>
      <c r="M69" s="4" t="s">
        <v>9</v>
      </c>
      <c r="N69" s="6">
        <v>0</v>
      </c>
      <c r="O69" s="5">
        <v>0</v>
      </c>
      <c r="P69" s="6">
        <v>0</v>
      </c>
      <c r="Q69" s="5">
        <v>0</v>
      </c>
    </row>
    <row r="70" spans="1:17" x14ac:dyDescent="0.35">
      <c r="A70" s="9">
        <v>44545.843055555553</v>
      </c>
      <c r="B70" s="4" t="s">
        <v>8</v>
      </c>
      <c r="C70" s="6">
        <v>537.84</v>
      </c>
      <c r="D70" s="10">
        <v>4.4729839999999084E-2</v>
      </c>
      <c r="E70" s="6">
        <v>24.057497145599509</v>
      </c>
      <c r="F70" s="11">
        <v>11.389999999999999</v>
      </c>
      <c r="G70" s="6">
        <v>400</v>
      </c>
      <c r="H70" s="6">
        <v>-6.17</v>
      </c>
      <c r="I70" s="4">
        <v>55</v>
      </c>
      <c r="J70" s="9">
        <v>44641</v>
      </c>
      <c r="K70" s="6">
        <v>5698.87</v>
      </c>
      <c r="L70" s="4">
        <v>4467.3138746377999</v>
      </c>
      <c r="M70" s="4" t="s">
        <v>9</v>
      </c>
      <c r="N70" s="6">
        <v>0.01</v>
      </c>
      <c r="O70" s="5">
        <v>0</v>
      </c>
      <c r="P70" s="6">
        <v>-1231.58</v>
      </c>
      <c r="Q70" s="5">
        <v>0</v>
      </c>
    </row>
    <row r="71" spans="1:17" x14ac:dyDescent="0.35">
      <c r="A71" s="9">
        <v>44551.441666666666</v>
      </c>
      <c r="B71" s="4" t="s">
        <v>8</v>
      </c>
      <c r="C71" s="6">
        <v>510.17</v>
      </c>
      <c r="D71" s="10">
        <v>11.1230328665945</v>
      </c>
      <c r="E71" s="6">
        <v>5674.5909608124757</v>
      </c>
      <c r="F71" s="11">
        <v>11.389999999999999</v>
      </c>
      <c r="G71" s="6">
        <v>400</v>
      </c>
      <c r="H71" s="6">
        <v>-1225.3800000000001</v>
      </c>
      <c r="I71" s="4">
        <v>55</v>
      </c>
      <c r="J71" s="9">
        <v>44641</v>
      </c>
      <c r="K71" s="6">
        <v>5698.87</v>
      </c>
      <c r="L71" s="4">
        <v>4467.3138746377999</v>
      </c>
      <c r="M71" s="4" t="s">
        <v>9</v>
      </c>
      <c r="N71" s="6">
        <v>0.01</v>
      </c>
      <c r="O71" s="5">
        <v>0</v>
      </c>
      <c r="P71" s="6">
        <v>-1231.58</v>
      </c>
      <c r="Q71" s="5">
        <v>0</v>
      </c>
    </row>
    <row r="72" spans="1:17" x14ac:dyDescent="0.35">
      <c r="A72" s="9">
        <v>44575</v>
      </c>
      <c r="B72" s="4" t="s">
        <v>8</v>
      </c>
      <c r="C72" s="6">
        <v>482.24</v>
      </c>
      <c r="D72" s="10">
        <v>3.1116999999999999E-4</v>
      </c>
      <c r="E72" s="6">
        <v>0.15005862079999999</v>
      </c>
      <c r="F72" s="11">
        <v>11.389999999999999</v>
      </c>
      <c r="G72" s="6">
        <v>400</v>
      </c>
      <c r="H72" s="6">
        <v>-0.03</v>
      </c>
      <c r="I72" s="4">
        <v>55</v>
      </c>
      <c r="J72" s="9">
        <v>44641</v>
      </c>
      <c r="K72" s="6">
        <v>5698.87</v>
      </c>
      <c r="L72" s="4">
        <v>4467.3138746377999</v>
      </c>
      <c r="M72" s="4" t="s">
        <v>9</v>
      </c>
      <c r="N72" s="6">
        <v>0.01</v>
      </c>
      <c r="O72" s="5">
        <v>0</v>
      </c>
      <c r="P72" s="6">
        <v>-1231.58</v>
      </c>
      <c r="Q72" s="5">
        <v>0</v>
      </c>
    </row>
    <row r="73" spans="1:17" x14ac:dyDescent="0.35">
      <c r="A73" s="9">
        <v>44583</v>
      </c>
      <c r="B73" s="4" t="s">
        <v>8</v>
      </c>
      <c r="C73" s="6">
        <v>355.34</v>
      </c>
      <c r="D73" s="10">
        <v>2.1081E-4</v>
      </c>
      <c r="E73" s="6">
        <v>7.4909225400000001E-2</v>
      </c>
      <c r="F73" s="11">
        <v>11.389999999999999</v>
      </c>
      <c r="G73" s="6">
        <v>400</v>
      </c>
      <c r="H73" s="6">
        <v>0.01</v>
      </c>
      <c r="I73" s="4">
        <v>55</v>
      </c>
      <c r="J73" s="9">
        <v>44641</v>
      </c>
      <c r="K73" s="6">
        <v>5698.87</v>
      </c>
      <c r="L73" s="4">
        <v>4467.3138746377999</v>
      </c>
      <c r="M73" s="4" t="s">
        <v>9</v>
      </c>
      <c r="N73" s="6">
        <v>0.01</v>
      </c>
      <c r="O73" s="5">
        <v>0</v>
      </c>
      <c r="P73" s="6">
        <v>-1231.58</v>
      </c>
      <c r="Q73" s="5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91A8C-CD9E-477C-B6D4-18FEDE10EAB5}">
  <sheetPr codeName="Sheet40"/>
  <dimension ref="A3:AN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44235.627083333333</v>
      </c>
      <c r="B5" s="4" t="s">
        <v>8</v>
      </c>
      <c r="C5" s="6">
        <v>0.08</v>
      </c>
      <c r="D5" s="10">
        <v>599</v>
      </c>
      <c r="E5" s="6">
        <v>47.92</v>
      </c>
      <c r="F5" s="11">
        <v>599</v>
      </c>
      <c r="G5" s="6">
        <v>0.39</v>
      </c>
      <c r="H5" s="6">
        <v>185.69</v>
      </c>
      <c r="I5" s="4">
        <v>1</v>
      </c>
      <c r="J5" s="9">
        <v>44319.083333333336</v>
      </c>
      <c r="K5" s="4">
        <v>47.92</v>
      </c>
      <c r="L5" s="4">
        <v>233.61</v>
      </c>
      <c r="M5" s="4" t="s">
        <v>9</v>
      </c>
      <c r="N5" s="6">
        <v>185.69</v>
      </c>
      <c r="O5" s="5">
        <v>0</v>
      </c>
      <c r="P5" s="6">
        <v>0</v>
      </c>
      <c r="Q5" s="5">
        <v>0</v>
      </c>
      <c r="T5" s="4">
        <v>1</v>
      </c>
      <c r="U5" s="9">
        <v>44319.083333333336</v>
      </c>
      <c r="V5" s="4">
        <v>599</v>
      </c>
      <c r="W5" s="6">
        <v>0.39</v>
      </c>
      <c r="X5" s="4">
        <v>47.92</v>
      </c>
      <c r="Y5" s="4">
        <v>233.61</v>
      </c>
      <c r="Z5" s="6">
        <v>185.69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185.69</v>
      </c>
      <c r="AL5">
        <v>0</v>
      </c>
      <c r="AM5">
        <v>0</v>
      </c>
      <c r="AN5">
        <v>0</v>
      </c>
    </row>
    <row r="6" spans="1:40" x14ac:dyDescent="0.35">
      <c r="AE6" s="4">
        <v>2022</v>
      </c>
      <c r="AF6" s="4">
        <v>0</v>
      </c>
      <c r="AG6" s="6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200D-7EE8-483A-BB04-9482AC070914}">
  <sheetPr codeName="Sheet39"/>
  <dimension ref="A3:AN16"/>
  <sheetViews>
    <sheetView workbookViewId="0"/>
  </sheetViews>
  <sheetFormatPr defaultRowHeight="14.5" x14ac:dyDescent="0.35"/>
  <cols>
    <col min="1" max="9" width="10.26953125" customWidth="1"/>
    <col min="10" max="17" width="11.26953125" customWidth="1"/>
    <col min="20" max="28" width="10.26953125" customWidth="1"/>
    <col min="29" max="29" width="11.26953125" customWidth="1"/>
    <col min="31" max="33" width="10.26953125" customWidth="1"/>
    <col min="35" max="40" width="10.26953125" customWidth="1"/>
  </cols>
  <sheetData>
    <row r="3" spans="1:40" x14ac:dyDescent="0.35">
      <c r="A3" s="12" t="s">
        <v>76</v>
      </c>
      <c r="B3" s="12"/>
      <c r="C3" s="12"/>
      <c r="D3" s="12"/>
      <c r="E3" s="12"/>
      <c r="F3" s="12" t="s">
        <v>77</v>
      </c>
      <c r="G3" s="12"/>
      <c r="H3" s="12"/>
      <c r="I3" s="12"/>
      <c r="J3" s="12"/>
      <c r="K3" s="12"/>
      <c r="L3" s="12"/>
      <c r="M3" s="12"/>
      <c r="N3" s="12"/>
      <c r="O3" s="12"/>
    </row>
    <row r="4" spans="1:40" ht="43.5" x14ac:dyDescent="0.35">
      <c r="A4" s="3" t="s">
        <v>100</v>
      </c>
      <c r="B4" s="3" t="s">
        <v>75</v>
      </c>
      <c r="C4" s="3" t="s">
        <v>73</v>
      </c>
      <c r="D4" s="3" t="s">
        <v>50</v>
      </c>
      <c r="E4" s="3" t="s">
        <v>51</v>
      </c>
      <c r="F4" s="13" t="s">
        <v>64</v>
      </c>
      <c r="G4" s="13" t="s">
        <v>52</v>
      </c>
      <c r="H4" s="13" t="s">
        <v>53</v>
      </c>
      <c r="I4" s="13" t="s">
        <v>54</v>
      </c>
      <c r="J4" s="13" t="s">
        <v>60</v>
      </c>
      <c r="K4" s="13" t="s">
        <v>114</v>
      </c>
      <c r="L4" s="13" t="s">
        <v>115</v>
      </c>
      <c r="M4" s="13" t="s">
        <v>63</v>
      </c>
      <c r="N4" s="13" t="s">
        <v>55</v>
      </c>
      <c r="O4" s="13" t="s">
        <v>61</v>
      </c>
      <c r="P4" s="3" t="s">
        <v>56</v>
      </c>
      <c r="Q4" s="3" t="s">
        <v>62</v>
      </c>
      <c r="T4" s="3" t="s">
        <v>59</v>
      </c>
      <c r="U4" s="3" t="s">
        <v>60</v>
      </c>
      <c r="V4" s="3" t="s">
        <v>64</v>
      </c>
      <c r="W4" s="3" t="s">
        <v>69</v>
      </c>
      <c r="X4" s="3" t="s">
        <v>112</v>
      </c>
      <c r="Y4" s="3" t="s">
        <v>113</v>
      </c>
      <c r="Z4" s="3" t="s">
        <v>57</v>
      </c>
      <c r="AA4" s="3" t="s">
        <v>61</v>
      </c>
      <c r="AB4" s="3" t="s">
        <v>58</v>
      </c>
      <c r="AC4" s="3" t="s">
        <v>62</v>
      </c>
      <c r="AE4" s="3" t="s">
        <v>65</v>
      </c>
      <c r="AF4" s="3" t="s">
        <v>68</v>
      </c>
      <c r="AG4" s="3" t="s">
        <v>67</v>
      </c>
      <c r="AI4" s="3" t="s">
        <v>65</v>
      </c>
      <c r="AJ4" s="3" t="s">
        <v>66</v>
      </c>
      <c r="AK4" s="3" t="s">
        <v>70</v>
      </c>
      <c r="AL4" s="3" t="s">
        <v>71</v>
      </c>
      <c r="AM4" s="3" t="s">
        <v>74</v>
      </c>
      <c r="AN4" s="3" t="s">
        <v>72</v>
      </c>
    </row>
    <row r="5" spans="1:40" x14ac:dyDescent="0.35">
      <c r="A5" s="9">
        <v>44157.084027777775</v>
      </c>
      <c r="B5" s="4" t="s">
        <v>8</v>
      </c>
      <c r="C5" s="6">
        <v>18713.63</v>
      </c>
      <c r="D5" s="10">
        <v>5.3404000000000004E-3</v>
      </c>
      <c r="E5" s="6">
        <v>99.938269652000002</v>
      </c>
      <c r="F5" s="11">
        <v>5.3404000000000004E-3</v>
      </c>
      <c r="G5" s="6">
        <v>57524.83</v>
      </c>
      <c r="H5" s="6">
        <v>207.26733248000002</v>
      </c>
      <c r="I5" s="4">
        <v>1</v>
      </c>
      <c r="J5" s="9">
        <v>44155.667361111111</v>
      </c>
      <c r="K5" s="4">
        <v>99.938269652000002</v>
      </c>
      <c r="L5" s="4">
        <v>307.20560213200002</v>
      </c>
      <c r="M5" s="4" t="s">
        <v>9</v>
      </c>
      <c r="N5" s="6">
        <v>207.27</v>
      </c>
      <c r="O5" s="5">
        <v>0</v>
      </c>
      <c r="P5" s="6">
        <v>0</v>
      </c>
      <c r="Q5" s="5">
        <v>0</v>
      </c>
      <c r="T5" s="4">
        <v>1</v>
      </c>
      <c r="U5" s="9">
        <v>44155.667361111111</v>
      </c>
      <c r="V5" s="4">
        <v>5.3404000000000004E-3</v>
      </c>
      <c r="W5" s="6">
        <v>57524.83</v>
      </c>
      <c r="X5" s="4">
        <v>99.938269652000002</v>
      </c>
      <c r="Y5" s="4">
        <v>307.20560213200002</v>
      </c>
      <c r="Z5" s="6">
        <v>207.27</v>
      </c>
      <c r="AA5" s="4">
        <v>0</v>
      </c>
      <c r="AB5" s="6">
        <v>0</v>
      </c>
      <c r="AC5" s="4">
        <v>0</v>
      </c>
      <c r="AE5" s="4">
        <v>2021</v>
      </c>
      <c r="AF5" s="4">
        <v>0</v>
      </c>
      <c r="AG5" s="6">
        <v>0</v>
      </c>
      <c r="AI5">
        <v>2021</v>
      </c>
      <c r="AJ5" s="7">
        <v>0</v>
      </c>
      <c r="AK5">
        <v>41.18</v>
      </c>
      <c r="AL5">
        <v>0</v>
      </c>
      <c r="AM5">
        <v>-134.76999999999998</v>
      </c>
      <c r="AN5">
        <v>0</v>
      </c>
    </row>
    <row r="6" spans="1:40" x14ac:dyDescent="0.35">
      <c r="A6" s="9">
        <v>44334.802777777775</v>
      </c>
      <c r="B6" s="4" t="s">
        <v>8</v>
      </c>
      <c r="C6" s="6">
        <v>42854.8</v>
      </c>
      <c r="D6" s="10">
        <v>8.3600000000000005E-4</v>
      </c>
      <c r="E6" s="6">
        <v>35.826612799999999</v>
      </c>
      <c r="F6" s="11">
        <v>8.3600000000000005E-4</v>
      </c>
      <c r="G6" s="6">
        <v>37053.760000000002</v>
      </c>
      <c r="H6" s="6">
        <v>-4.8499999999999996</v>
      </c>
      <c r="I6" s="4">
        <v>2</v>
      </c>
      <c r="J6" s="9">
        <v>44337.580555555556</v>
      </c>
      <c r="K6" s="6">
        <v>35.83</v>
      </c>
      <c r="L6" s="4">
        <v>30.976943360000003</v>
      </c>
      <c r="M6" s="4" t="s">
        <v>9</v>
      </c>
      <c r="N6" s="6">
        <v>0</v>
      </c>
      <c r="O6" s="5">
        <v>0</v>
      </c>
      <c r="P6" s="6">
        <v>-4.8499999999999996</v>
      </c>
      <c r="Q6" s="5">
        <v>0</v>
      </c>
      <c r="T6" s="4">
        <v>2</v>
      </c>
      <c r="U6" s="8">
        <v>44337.580555555556</v>
      </c>
      <c r="V6" s="4">
        <v>8.3600000000000005E-4</v>
      </c>
      <c r="W6" s="6">
        <v>37053.760000000002</v>
      </c>
      <c r="X6" s="6">
        <v>35.83</v>
      </c>
      <c r="Y6" s="4">
        <v>30.976943360000003</v>
      </c>
      <c r="Z6" s="6">
        <v>0</v>
      </c>
      <c r="AA6" s="4">
        <v>0</v>
      </c>
      <c r="AB6" s="6">
        <v>-4.8499999999999996</v>
      </c>
      <c r="AC6" s="4">
        <v>0</v>
      </c>
      <c r="AE6" s="4">
        <v>2022</v>
      </c>
      <c r="AF6" s="4">
        <v>0</v>
      </c>
      <c r="AG6" s="6">
        <v>0</v>
      </c>
    </row>
    <row r="7" spans="1:40" x14ac:dyDescent="0.35">
      <c r="A7" s="9">
        <v>44334.802777777775</v>
      </c>
      <c r="B7" s="4" t="s">
        <v>8</v>
      </c>
      <c r="C7" s="6">
        <v>42854.8</v>
      </c>
      <c r="D7" s="10">
        <v>3.6340000000000001E-3</v>
      </c>
      <c r="E7" s="6">
        <v>155.73434320000001</v>
      </c>
      <c r="F7" s="11">
        <v>3.6340000000000001E-3</v>
      </c>
      <c r="G7" s="6">
        <v>37049.96</v>
      </c>
      <c r="H7" s="6">
        <v>-21.09</v>
      </c>
      <c r="I7" s="4">
        <v>3</v>
      </c>
      <c r="J7" s="9">
        <v>44337.580555555556</v>
      </c>
      <c r="K7" s="6">
        <v>155.72999999999999</v>
      </c>
      <c r="L7" s="4">
        <v>134.63955464</v>
      </c>
      <c r="M7" s="4" t="s">
        <v>9</v>
      </c>
      <c r="N7" s="6">
        <v>0</v>
      </c>
      <c r="O7" s="5">
        <v>0</v>
      </c>
      <c r="P7" s="6">
        <v>-21.09</v>
      </c>
      <c r="Q7" s="5">
        <v>0</v>
      </c>
      <c r="T7" s="4">
        <v>3</v>
      </c>
      <c r="U7" s="8">
        <v>44337.580555555556</v>
      </c>
      <c r="V7" s="4">
        <v>3.6340000000000001E-3</v>
      </c>
      <c r="W7" s="6">
        <v>37049.96</v>
      </c>
      <c r="X7" s="6">
        <v>155.72999999999999</v>
      </c>
      <c r="Y7" s="4">
        <v>134.63955464</v>
      </c>
      <c r="Z7" s="6">
        <v>0</v>
      </c>
      <c r="AA7" s="4">
        <v>0</v>
      </c>
      <c r="AB7" s="6">
        <v>-21.09</v>
      </c>
      <c r="AC7" s="4">
        <v>0</v>
      </c>
    </row>
    <row r="8" spans="1:40" x14ac:dyDescent="0.35">
      <c r="A8" s="9">
        <v>44334.802777777775</v>
      </c>
      <c r="B8" s="4" t="s">
        <v>8</v>
      </c>
      <c r="C8" s="6">
        <v>42854.8</v>
      </c>
      <c r="D8" s="10">
        <v>1.8748000000000001E-2</v>
      </c>
      <c r="E8" s="6">
        <v>803.44179040000006</v>
      </c>
      <c r="F8" s="11">
        <v>4.6747999999999998E-2</v>
      </c>
      <c r="G8" s="6">
        <v>37049.949999999997</v>
      </c>
      <c r="H8" s="6">
        <v>-108.83</v>
      </c>
      <c r="I8" s="4">
        <v>4</v>
      </c>
      <c r="J8" s="9">
        <v>44337.580555555556</v>
      </c>
      <c r="K8" s="6">
        <v>1799.66</v>
      </c>
      <c r="L8" s="4">
        <v>1732.0110626000001</v>
      </c>
      <c r="M8" s="4" t="s">
        <v>9</v>
      </c>
      <c r="N8" s="6">
        <v>41.18</v>
      </c>
      <c r="O8" s="5">
        <v>0</v>
      </c>
      <c r="P8" s="6">
        <v>-108.83</v>
      </c>
      <c r="Q8" s="5">
        <v>0</v>
      </c>
      <c r="T8" s="4">
        <v>4</v>
      </c>
      <c r="U8" s="8">
        <v>44337.580555555556</v>
      </c>
      <c r="V8" s="4">
        <v>4.6747999999999998E-2</v>
      </c>
      <c r="W8" s="6">
        <v>37049.949999999997</v>
      </c>
      <c r="X8" s="6">
        <v>1799.66</v>
      </c>
      <c r="Y8" s="4">
        <v>1732.0110626000001</v>
      </c>
      <c r="Z8" s="6">
        <v>41.18</v>
      </c>
      <c r="AA8" s="4">
        <v>0</v>
      </c>
      <c r="AB8" s="6">
        <v>-108.83</v>
      </c>
      <c r="AC8" s="4">
        <v>0</v>
      </c>
    </row>
    <row r="9" spans="1:40" x14ac:dyDescent="0.35">
      <c r="A9" s="9">
        <v>44335.411111111112</v>
      </c>
      <c r="B9" s="4" t="s">
        <v>8</v>
      </c>
      <c r="C9" s="6">
        <v>35579.269999999997</v>
      </c>
      <c r="D9" s="10">
        <v>2.8000000000000001E-2</v>
      </c>
      <c r="E9" s="6">
        <v>996.21956</v>
      </c>
      <c r="F9" s="11">
        <v>4.6747999999999998E-2</v>
      </c>
      <c r="G9" s="6">
        <v>37049.949999999997</v>
      </c>
      <c r="H9" s="6">
        <v>41.18</v>
      </c>
      <c r="I9" s="4">
        <v>4</v>
      </c>
      <c r="J9" s="9">
        <v>44337.580555555556</v>
      </c>
      <c r="K9" s="6">
        <v>1799.66</v>
      </c>
      <c r="L9" s="4">
        <v>1732.0110626000001</v>
      </c>
      <c r="M9" s="4" t="s">
        <v>9</v>
      </c>
      <c r="N9" s="6">
        <v>41.18</v>
      </c>
      <c r="O9" s="5">
        <v>0</v>
      </c>
      <c r="P9" s="6">
        <v>-108.83</v>
      </c>
      <c r="Q9" s="5">
        <v>0</v>
      </c>
    </row>
    <row r="10" spans="1:40" x14ac:dyDescent="0.35">
      <c r="A10" s="9">
        <v>44543.472916666666</v>
      </c>
      <c r="B10" s="4" t="s">
        <v>8</v>
      </c>
      <c r="C10" s="6">
        <v>47255.62</v>
      </c>
      <c r="D10" s="10">
        <v>1.0579999999999999E-3</v>
      </c>
      <c r="E10" s="6">
        <v>49.996445959999996</v>
      </c>
      <c r="F10" s="11"/>
      <c r="G10" s="6"/>
      <c r="H10" s="6"/>
      <c r="I10" s="4"/>
      <c r="J10" s="9"/>
      <c r="K10" s="4"/>
      <c r="L10" s="4"/>
      <c r="M10" s="4"/>
      <c r="N10" s="6"/>
      <c r="O10" s="4"/>
      <c r="P10" s="6"/>
      <c r="Q10" s="4"/>
    </row>
    <row r="11" spans="1:40" x14ac:dyDescent="0.35">
      <c r="A11" s="9">
        <v>44545.864583333336</v>
      </c>
      <c r="B11" s="4" t="s">
        <v>8</v>
      </c>
      <c r="C11" s="6">
        <v>47225.62</v>
      </c>
      <c r="D11" s="10">
        <v>1.0700000000000067E-3</v>
      </c>
      <c r="E11" s="6">
        <v>50.531413400000318</v>
      </c>
      <c r="F11" s="11"/>
      <c r="G11" s="6"/>
      <c r="H11" s="6"/>
      <c r="I11" s="4"/>
      <c r="J11" s="9"/>
      <c r="K11" s="4"/>
      <c r="L11" s="4"/>
      <c r="M11" s="4"/>
      <c r="N11" s="6"/>
      <c r="O11" s="4"/>
      <c r="P11" s="6"/>
      <c r="Q11" s="4"/>
    </row>
    <row r="12" spans="1:40" x14ac:dyDescent="0.35">
      <c r="A12" s="9">
        <v>44551.481249999997</v>
      </c>
      <c r="B12" s="4" t="s">
        <v>8</v>
      </c>
      <c r="C12" s="6">
        <v>49341.22</v>
      </c>
      <c r="D12" s="10">
        <v>6.0899999999999995E-4</v>
      </c>
      <c r="E12" s="6">
        <v>30.048802979999998</v>
      </c>
      <c r="F12" s="11"/>
      <c r="G12" s="6"/>
      <c r="H12" s="6"/>
      <c r="I12" s="4"/>
      <c r="J12" s="9"/>
      <c r="K12" s="4"/>
      <c r="L12" s="4"/>
      <c r="M12" s="4"/>
      <c r="N12" s="6"/>
      <c r="O12" s="4"/>
      <c r="P12" s="6"/>
      <c r="Q12" s="4"/>
    </row>
    <row r="13" spans="1:40" x14ac:dyDescent="0.35">
      <c r="A13" s="9">
        <v>44553.38958333333</v>
      </c>
      <c r="B13" s="4" t="s">
        <v>8</v>
      </c>
      <c r="C13" s="6">
        <v>508000.51</v>
      </c>
      <c r="D13" s="10">
        <v>1.9680000000000001E-3</v>
      </c>
      <c r="E13" s="6">
        <v>999.74500368000008</v>
      </c>
      <c r="F13" s="11"/>
      <c r="G13" s="6"/>
      <c r="H13" s="6"/>
      <c r="I13" s="4"/>
      <c r="J13" s="9"/>
      <c r="K13" s="4"/>
      <c r="L13" s="4"/>
      <c r="M13" s="4"/>
      <c r="N13" s="6"/>
      <c r="O13" s="4"/>
      <c r="P13" s="6"/>
      <c r="Q13" s="4"/>
    </row>
    <row r="14" spans="1:40" x14ac:dyDescent="0.35">
      <c r="A14" s="9">
        <v>44560.5625</v>
      </c>
      <c r="B14" s="4" t="s">
        <v>8</v>
      </c>
      <c r="C14" s="6">
        <v>47836.44</v>
      </c>
      <c r="D14" s="10">
        <v>1.1509999999999999E-3</v>
      </c>
      <c r="E14" s="6">
        <v>55.059742439999994</v>
      </c>
      <c r="F14" s="11"/>
      <c r="G14" s="6"/>
      <c r="H14" s="6"/>
      <c r="I14" s="4"/>
      <c r="J14" s="9"/>
      <c r="K14" s="4"/>
      <c r="L14" s="4"/>
      <c r="M14" s="4"/>
      <c r="N14" s="6"/>
      <c r="O14" s="4"/>
      <c r="P14" s="6"/>
      <c r="Q14" s="4"/>
    </row>
    <row r="15" spans="1:40" x14ac:dyDescent="0.35">
      <c r="A15" s="9">
        <v>44575</v>
      </c>
      <c r="B15" s="4" t="s">
        <v>8</v>
      </c>
      <c r="C15" s="6">
        <v>43103.69</v>
      </c>
      <c r="D15" s="10">
        <v>4.64E-3</v>
      </c>
      <c r="E15" s="6">
        <v>200.0011216</v>
      </c>
      <c r="F15" s="11"/>
      <c r="G15" s="6"/>
      <c r="H15" s="6"/>
      <c r="I15" s="4"/>
      <c r="J15" s="9"/>
      <c r="K15" s="4"/>
      <c r="L15" s="4"/>
      <c r="M15" s="4"/>
      <c r="N15" s="6"/>
      <c r="O15" s="4"/>
      <c r="P15" s="6"/>
      <c r="Q15" s="4"/>
    </row>
    <row r="16" spans="1:40" x14ac:dyDescent="0.35">
      <c r="A16" s="9">
        <v>44583</v>
      </c>
      <c r="B16" s="4" t="s">
        <v>8</v>
      </c>
      <c r="C16" s="6">
        <v>34954.04</v>
      </c>
      <c r="D16" s="10">
        <v>2.8609999999999998E-3</v>
      </c>
      <c r="E16" s="6">
        <v>100.00350843999999</v>
      </c>
      <c r="F16" s="11"/>
      <c r="G16" s="6"/>
      <c r="H16" s="6"/>
      <c r="I16" s="4"/>
      <c r="J16" s="9"/>
      <c r="K16" s="4"/>
      <c r="L16" s="4"/>
      <c r="M16" s="4"/>
      <c r="N16" s="6"/>
      <c r="O16" s="4"/>
      <c r="P16" s="6"/>
      <c r="Q16" s="4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20B72-1638-4C36-8797-2B1FBD637863}">
  <sheetPr codeName="Sheet171"/>
  <dimension ref="C4:G4"/>
  <sheetViews>
    <sheetView workbookViewId="0">
      <selection activeCell="H3" sqref="H3"/>
    </sheetView>
  </sheetViews>
  <sheetFormatPr defaultRowHeight="14.5" x14ac:dyDescent="0.35"/>
  <cols>
    <col min="5" max="5" width="15.1796875" bestFit="1" customWidth="1"/>
    <col min="6" max="6" width="11.453125" bestFit="1" customWidth="1"/>
    <col min="7" max="7" width="9" bestFit="1" customWidth="1"/>
  </cols>
  <sheetData>
    <row r="4" spans="3:7" x14ac:dyDescent="0.35">
      <c r="C4" t="s">
        <v>60</v>
      </c>
      <c r="D4" t="s">
        <v>3</v>
      </c>
      <c r="E4" t="s">
        <v>116</v>
      </c>
      <c r="F4" t="s">
        <v>113</v>
      </c>
      <c r="G4" t="s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Transaction</vt:lpstr>
      <vt:lpstr>Control Center</vt:lpstr>
      <vt:lpstr>Sales_Summary</vt:lpstr>
      <vt:lpstr>Portfolio_Summary</vt:lpstr>
      <vt:lpstr>USDC_txn</vt:lpstr>
      <vt:lpstr>CAKE_txn</vt:lpstr>
      <vt:lpstr>VET_txn</vt:lpstr>
      <vt:lpstr>MATIC_txn</vt:lpstr>
      <vt:lpstr>CTSI_txn</vt:lpstr>
      <vt:lpstr>ETH_txn</vt:lpstr>
      <vt:lpstr>HNT_txn</vt:lpstr>
      <vt:lpstr>BNB_txn</vt:lpstr>
      <vt:lpstr>DOGE_txn</vt:lpstr>
      <vt:lpstr>BTC_txn</vt:lpstr>
      <vt:lpstr>Sheet169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Spinrad</dc:creator>
  <cp:lastModifiedBy>David Spinrad</cp:lastModifiedBy>
  <dcterms:created xsi:type="dcterms:W3CDTF">2021-12-17T15:12:46Z</dcterms:created>
  <dcterms:modified xsi:type="dcterms:W3CDTF">2022-07-07T00:28:35Z</dcterms:modified>
</cp:coreProperties>
</file>