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inr\PycharmProjects\to_github\Crytpo Currency Portfolio Report\"/>
    </mc:Choice>
  </mc:AlternateContent>
  <xr:revisionPtr revIDLastSave="0" documentId="13_ncr:1_{83CED44E-D716-4368-BE9B-03D670FF65B3}" xr6:coauthVersionLast="47" xr6:coauthVersionMax="47" xr10:uidLastSave="{00000000-0000-0000-0000-000000000000}"/>
  <bookViews>
    <workbookView minimized="1" xWindow="1860" yWindow="1860" windowWidth="14400" windowHeight="7360" tabRatio="728" firstSheet="1" activeTab="2" xr2:uid="{30F37766-858E-45EA-821E-E470146EE14F}"/>
  </bookViews>
  <sheets>
    <sheet name="Transaction" sheetId="1" r:id="rId1"/>
    <sheet name="Control Center" sheetId="7" r:id="rId2"/>
    <sheet name="Portfolio_Summary" sheetId="1132" r:id="rId3"/>
    <sheet name="ETH_txn" sheetId="1131" r:id="rId4"/>
    <sheet name="USDC_txn" sheetId="1130" r:id="rId5"/>
    <sheet name="HNT_txn" sheetId="1129" r:id="rId6"/>
    <sheet name="BNB_txn" sheetId="1128" r:id="rId7"/>
    <sheet name="BTC_txn" sheetId="1127" r:id="rId8"/>
  </sheets>
  <functionGroups builtInGroupCount="19"/>
  <calcPr calcId="191029" fullPrecision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" l="1"/>
  <c r="J7" i="1"/>
  <c r="J8" i="1"/>
  <c r="J9" i="1"/>
  <c r="J11" i="1"/>
  <c r="J12" i="1"/>
  <c r="J13" i="1"/>
  <c r="J14" i="1"/>
  <c r="J15" i="1"/>
  <c r="J16" i="1"/>
  <c r="J17" i="1"/>
  <c r="J18" i="1"/>
  <c r="J19" i="1"/>
  <c r="J3" i="1"/>
  <c r="J4" i="1"/>
  <c r="J5" i="1"/>
  <c r="J10" i="1"/>
  <c r="J2" i="1"/>
</calcChain>
</file>

<file path=xl/sharedStrings.xml><?xml version="1.0" encoding="utf-8"?>
<sst xmlns="http://schemas.openxmlformats.org/spreadsheetml/2006/main" count="527" uniqueCount="109">
  <si>
    <t>Notes</t>
  </si>
  <si>
    <t>Type</t>
  </si>
  <si>
    <t>Ticker</t>
  </si>
  <si>
    <t>Transacted Units</t>
  </si>
  <si>
    <t>Transacted Price (per unit)</t>
  </si>
  <si>
    <t>Buy</t>
  </si>
  <si>
    <t>No</t>
  </si>
  <si>
    <t>Binance.us</t>
  </si>
  <si>
    <t>BNB</t>
  </si>
  <si>
    <t>Sell</t>
  </si>
  <si>
    <t>HNT</t>
  </si>
  <si>
    <t>BTC</t>
  </si>
  <si>
    <t>ETH</t>
  </si>
  <si>
    <t>Coinbase</t>
  </si>
  <si>
    <t>Fee</t>
  </si>
  <si>
    <t>Transacted Value
(Txn Units * Price)</t>
  </si>
  <si>
    <t>Coins Gained</t>
  </si>
  <si>
    <t>Value Gained</t>
  </si>
  <si>
    <t>Price Sold At</t>
  </si>
  <si>
    <t>Realized Gain/Loss</t>
  </si>
  <si>
    <t>Sale Number</t>
  </si>
  <si>
    <t>Total Sale Gain</t>
  </si>
  <si>
    <t>Total Sale Loss</t>
  </si>
  <si>
    <t>Gain:</t>
  </si>
  <si>
    <t>Loss:</t>
  </si>
  <si>
    <t>Sale Number:</t>
  </si>
  <si>
    <t>Date of Sale</t>
  </si>
  <si>
    <t>% Gain Above 1 Year</t>
  </si>
  <si>
    <t>% Loss Above 1 Year</t>
  </si>
  <si>
    <t>&gt;1 Year?</t>
  </si>
  <si>
    <t>Coins Sold (#)</t>
  </si>
  <si>
    <t>Year</t>
  </si>
  <si>
    <t>Income</t>
  </si>
  <si>
    <t>Income Earned</t>
  </si>
  <si>
    <t>Coins Total</t>
  </si>
  <si>
    <t>Sell Price:</t>
  </si>
  <si>
    <t>Short Gain</t>
  </si>
  <si>
    <t>Long Gain</t>
  </si>
  <si>
    <t>Long Loss</t>
  </si>
  <si>
    <t>`</t>
  </si>
  <si>
    <t>Price/Coin</t>
  </si>
  <si>
    <t>Short Loss</t>
  </si>
  <si>
    <t>Buy or Income</t>
  </si>
  <si>
    <t>Txn Data</t>
  </si>
  <si>
    <t>Sale Data</t>
  </si>
  <si>
    <t>Coin</t>
  </si>
  <si>
    <t>Mined/Staked Income</t>
  </si>
  <si>
    <t>Transaction Item #</t>
  </si>
  <si>
    <t>If Independent Fee, Whats the Fee For?</t>
  </si>
  <si>
    <t>Brokerage of Transaction</t>
  </si>
  <si>
    <t>Realized Gain Loss</t>
  </si>
  <si>
    <t>Holdings by EOY</t>
  </si>
  <si>
    <t>Date of Buy/Income</t>
  </si>
  <si>
    <t>USDC</t>
  </si>
  <si>
    <t>EXAMPLE ROW</t>
  </si>
  <si>
    <t>Gemini</t>
  </si>
  <si>
    <t>&lt; -</t>
  </si>
  <si>
    <t>USD or fiat fees are added to the cost basis of the purchase or sale</t>
  </si>
  <si>
    <t>Selling BNB
Txn ID: 5</t>
  </si>
  <si>
    <t>-</t>
  </si>
  <si>
    <t>The portfolio tracker assumes a couple things in your Transaction worksheet</t>
  </si>
  <si>
    <t xml:space="preserve"> - your transactions are accurate</t>
  </si>
  <si>
    <t xml:space="preserve"> - you do not sell more than you own</t>
  </si>
  <si>
    <t xml:space="preserve"> - there are no negative values</t>
  </si>
  <si>
    <t>SEE EXAMPLE OUTPUT BELOW</t>
  </si>
  <si>
    <t>Sale Summaries</t>
  </si>
  <si>
    <t>Helium</t>
  </si>
  <si>
    <t>Mined / Staking rewards are categorized as income and get categorized appropriately in the report.
Coins gained by income can be sold regularly.</t>
  </si>
  <si>
    <t>The portfolio tracker will output one sheet per crypto currency. The sheet will contain:</t>
  </si>
  <si>
    <t>1. a table listing that currency's acquisition transactions (Buy &amp; Income)</t>
  </si>
  <si>
    <t>2. a table used in calculating which specific assets were sold at the time of a Sale</t>
  </si>
  <si>
    <t xml:space="preserve"> - this table is used primarily in calculating gains/losses from the sale of crypo</t>
  </si>
  <si>
    <t xml:space="preserve"> - this table's results can be summarized in table 3.</t>
  </si>
  <si>
    <t>3. a table summarizing the sale transactions of the crypto currency</t>
  </si>
  <si>
    <t>4. a table summarizing the income of a currency</t>
  </si>
  <si>
    <t>5. a table summarizing the total gain, loss, and income for a crypto currency</t>
  </si>
  <si>
    <t>^</t>
  </si>
  <si>
    <t>the coins gained column is named this way to encompass coins gained in a "buy" or as "income" (mined or staking rewards)</t>
  </si>
  <si>
    <t xml:space="preserve"> </t>
  </si>
  <si>
    <t xml:space="preserve"> - table 1 lists the quantity and value of coins added to the portfolio</t>
  </si>
  <si>
    <t xml:space="preserve"> - when there is a sale of that crypto, table 2 will go line by line and "sell" the crypto gained in that particular row until the sale quantity has been satisfied.</t>
  </si>
  <si>
    <r>
      <t xml:space="preserve">Example: </t>
    </r>
    <r>
      <rPr>
        <b/>
        <sz val="11"/>
        <color theme="1"/>
        <rFont val="Calibri"/>
        <family val="2"/>
        <scheme val="minor"/>
      </rPr>
      <t>BNB</t>
    </r>
  </si>
  <si>
    <t xml:space="preserve"> - in this case, there are 3 sales of BNB in the main transaction table. 
- table 2 will go line by line adding the crypto quantities from earliest to latest purchases until the sale quantity is satisfied.
- if a row of gained crypto tops off the quantity required in the sale and there is a leftover quantity, a duplicate row of the remaining
quantity will be added. As we can see in the example above, 
- this method of calculating taxes is first in first out (FIFO). The macro will calculate your earliest acquired assets sold first.</t>
  </si>
  <si>
    <t xml:space="preserve"> - the progression of these tables are thus when the macro is run:</t>
  </si>
  <si>
    <t>Original</t>
  </si>
  <si>
    <t>First Sale</t>
  </si>
  <si>
    <t xml:space="preserve">^ </t>
  </si>
  <si>
    <t xml:space="preserve"> - the macro scans the transaction worksheet and finds the first sale of BNB is for a quantity of .52 with a $/coin of 580</t>
  </si>
  <si>
    <t xml:space="preserve"> - the 2nd row's .52 coin value was broken up into .09 and .43. Because .09 of the original .52 was needed to satisfy the sale (.43 + .09 = .52)</t>
  </si>
  <si>
    <t xml:space="preserve"> - the value of these two quantities is now seperated. The second quantity will be used in the next sale</t>
  </si>
  <si>
    <t xml:space="preserve"> - in the second sale, the .42 quantity was broken up into .0002 and .4298 to satisfy the sale of .0002</t>
  </si>
  <si>
    <t>2nd sale</t>
  </si>
  <si>
    <t>3rd sale</t>
  </si>
  <si>
    <t xml:space="preserve"> - in the third sale, the .4298 value is broken up into .001 and .4288 to satisfy the third sale of .001</t>
  </si>
  <si>
    <t>Table 3 - Sale Summary Table</t>
  </si>
  <si>
    <t>Table 1 (Income and Buys) and 2 (Sales):</t>
  </si>
  <si>
    <t>Table 4 - Income Summary</t>
  </si>
  <si>
    <t>Income Summaries</t>
  </si>
  <si>
    <t>Year Summaries</t>
  </si>
  <si>
    <t xml:space="preserve"> -  shows your "sell" transactions and some data</t>
  </si>
  <si>
    <t xml:space="preserve"> -  shows how much income you made from crypto (mined/staked rewards)</t>
  </si>
  <si>
    <t>Table 5 - Year Summaries</t>
  </si>
  <si>
    <t xml:space="preserve"> -  shows your gains/losses/income for all years of activity</t>
  </si>
  <si>
    <t>Table 6 - Portfolio Summary</t>
  </si>
  <si>
    <t xml:space="preserve"> -  the big kahuna. This table is located on another sheet and sums up your gains, losses, income, and EOY holdings for each crypto for one year of activity</t>
  </si>
  <si>
    <t xml:space="preserve"> - every year will have its own table, they will be located horizontally from each other</t>
  </si>
  <si>
    <t>If you lose crypo as part of a fee, this model calculates that fee as a sale of crypto, in which you will harvest a gain or commit to a loss. 
This model does not calculate fees paid in crypto against the cost basis of the transaction.</t>
  </si>
  <si>
    <t>Date</t>
  </si>
  <si>
    <t>Fees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</si>
</sst>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_);\(&quot;$&quot;#,##0.00\)"/>
    <numFmt numFmtId="44" formatCode="_(&quot;$&quot;* #,##0.00_);_(&quot;$&quot;* \(#,##0.00\);_(&quot;$&quot;* &quot;-&quot;??_);_(@_)"/>
    <numFmt numFmtId="164" formatCode="\$#,##0.00"/>
    <numFmt numFmtId="165" formatCode="mm/dd/yyyy"/>
    <numFmt numFmtId="166" formatCode="#####.#####"/>
    <numFmt numFmtId="167" formatCode="#####.######"/>
    <numFmt numFmtId="168" formatCode="0.00000"/>
    <numFmt numFmtId="169" formatCode="####.###"/>
  </numFmts>
  <fonts count="6" x14ac:knownFonts="1"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3300"/>
        <bgColor rgb="FF003300"/>
      </patternFill>
    </fill>
    <fill>
      <patternFill patternType="solid">
        <fgColor rgb="FF643200"/>
        <bgColor indexed="64"/>
      </patternFill>
    </fill>
    <fill>
      <patternFill patternType="solid">
        <fgColor rgb="FF0033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8">
    <xf numFmtId="0" fontId="0" fillId="0" borderId="0" xfId="0"/>
    <xf numFmtId="164" fontId="1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right"/>
    </xf>
    <xf numFmtId="7" fontId="0" fillId="0" borderId="0" xfId="0" applyNumberFormat="1" applyAlignment="1">
      <alignment horizontal="right"/>
    </xf>
    <xf numFmtId="7" fontId="0" fillId="0" borderId="0" xfId="0" applyNumberFormat="1"/>
    <xf numFmtId="165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167" fontId="0" fillId="0" borderId="0" xfId="0" applyNumberFormat="1" applyAlignment="1">
      <alignment horizontal="right"/>
    </xf>
    <xf numFmtId="0" fontId="0" fillId="0" borderId="0" xfId="0" applyAlignment="1">
      <alignment horizontal="centerContinuous"/>
    </xf>
    <xf numFmtId="0" fontId="0" fillId="3" borderId="0" xfId="0" applyFill="1" applyAlignment="1">
      <alignment wrapText="1"/>
    </xf>
    <xf numFmtId="0" fontId="1" fillId="4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44" fontId="0" fillId="0" borderId="3" xfId="1" applyNumberFormat="1" applyFont="1" applyBorder="1" applyAlignment="1">
      <alignment horizontal="centerContinuous" vertical="center" wrapText="1"/>
    </xf>
    <xf numFmtId="168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right"/>
    </xf>
    <xf numFmtId="44" fontId="0" fillId="0" borderId="0" xfId="1" applyNumberFormat="1" applyFont="1" applyBorder="1" applyAlignment="1">
      <alignment horizontal="centerContinuous" vertical="center" wrapText="1"/>
    </xf>
    <xf numFmtId="0" fontId="0" fillId="0" borderId="0" xfId="0" applyAlignment="1">
      <alignment horizontal="left"/>
    </xf>
    <xf numFmtId="10" fontId="0" fillId="0" borderId="0" xfId="0" applyNumberFormat="1"/>
    <xf numFmtId="0" fontId="5" fillId="0" borderId="0" xfId="0" applyFont="1"/>
    <xf numFmtId="0" fontId="4" fillId="0" borderId="0" xfId="0" applyFont="1" applyFill="1" applyAlignment="1">
      <alignment horizontal="left"/>
    </xf>
    <xf numFmtId="169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</cellXfs>
  <cellStyles count="2">
    <cellStyle name="Currency" xfId="1" builtinId="4"/>
    <cellStyle name="Normal" xfId="0" builtinId="0"/>
  </cellStyles>
  <dxfs count="289">
    <dxf>
      <numFmt numFmtId="166" formatCode="#####.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7" formatCode="#####.######"/>
      <alignment horizontal="right" vertical="bottom" textRotation="0" wrapText="0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7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7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7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6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168" formatCode="0.0000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6</xdr:row>
          <xdr:rowOff>38100</xdr:rowOff>
        </xdr:from>
        <xdr:to>
          <xdr:col>6</xdr:col>
          <xdr:colOff>406400</xdr:colOff>
          <xdr:row>8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Portfolio Tracker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7CA61622-FEFB-4DF9-AB78-5206768C0855}" name="Transaction_tbl" displayName="Transaction_tbl" ref="A1:K19" totalsRowShown="0">
  <autoFilter ref="A1:K19" xr:uid="{7CA61622-FEFB-4DF9-AB78-5206768C0855}"/>
  <sortState xmlns:xlrd2="http://schemas.microsoft.com/office/spreadsheetml/2017/richdata2" ref="A2:K19">
    <sortCondition ref="C2:C19"/>
  </sortState>
  <tableColumns count="11">
    <tableColumn id="1" xr3:uid="{32E55CBE-35C4-4993-B71D-068F91B2CE5B}" name="Notes" dataDxfId="288"/>
    <tableColumn id="2" xr3:uid="{485EAD01-6068-4D75-BC39-9D3F909FF291}" name="Transaction Item #" dataDxfId="287"/>
    <tableColumn id="3" xr3:uid="{DF031323-263B-4877-A798-55CD73CB675A}" name="Date" dataDxfId="286"/>
    <tableColumn id="4" xr3:uid="{F0097680-2A78-4C12-8A94-9F829F7B606C}" name="Type" dataDxfId="285"/>
    <tableColumn id="5" xr3:uid="{B0BB1F20-6AC5-4B22-A7EE-A30DBBB3F321}" name="If Independent Fee, Whats the Fee For?" dataDxfId="284"/>
    <tableColumn id="6" xr3:uid="{937E3EBA-2508-4465-98F2-93232FE807FD}" name="Brokerage of Transaction" dataDxfId="283"/>
    <tableColumn id="7" xr3:uid="{F03332C5-5D0F-499E-BF71-B71C2222A32F}" name="Ticker" dataDxfId="282"/>
    <tableColumn id="8" xr3:uid="{2BD7ABA8-5EE5-497E-A9C2-2493783E5FD4}" name="Transacted Units" dataDxfId="281"/>
    <tableColumn id="9" xr3:uid="{D10EDB35-9D94-4D10-B9A9-E7F20E30FD91}" name="Transacted Price (per unit)" dataDxfId="280" dataCellStyle="Currency"/>
    <tableColumn id="15" xr3:uid="{F4AFF7B4-0B96-4676-B872-0D682E99E5C9}" name="Transacted Value_x000a__x000a_(Txn Units * Price)" dataDxfId="279" dataCellStyle="Currency"/>
    <tableColumn id="10" xr3:uid="{880A9EA8-92BF-43A2-A8CB-05154898407D}" name="Fees" dataDxfId="278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8193E8BF-D15B-4755-9EA2-2F8240618533}" name="bnb_income_txn36" displayName="bnb_income_txn36" ref="D36:R42" totalsRowShown="0" headerRowDxfId="277" dataDxfId="276">
  <autoFilter ref="D36:R42" xr:uid="{8193E8BF-D15B-4755-9EA2-2F8240618533}"/>
  <tableColumns count="15">
    <tableColumn id="1" xr3:uid="{A4EA42C1-8309-4982-BA67-B9134CDFA365}" name="Date of Buy/Income" dataDxfId="275"/>
    <tableColumn id="2" xr3:uid="{5F65F344-DC88-42FD-8D40-B901916A9A7A}" name="Buy or Income" dataDxfId="274"/>
    <tableColumn id="3" xr3:uid="{0EEBE64B-328B-49C0-A34D-90C9E781E502}" name="Price/Coin" dataDxfId="273"/>
    <tableColumn id="4" xr3:uid="{946333F7-FEF1-4003-B3C1-5DC40D493157}" name="Coins Gained" dataDxfId="272"/>
    <tableColumn id="5" xr3:uid="{D4F35BBA-CE01-4B9F-9FFA-E6F2AF1A4441}" name="Value Gained" dataDxfId="271"/>
    <tableColumn id="6" xr3:uid="{993B674F-1F94-4F83-87BD-65B588251B4F}" name="Coins Sold (#)" dataDxfId="270"/>
    <tableColumn id="7" xr3:uid="{F79A6C97-E1CC-4918-BDE8-806C5B612DE4}" name="Price Sold At" dataDxfId="269"/>
    <tableColumn id="8" xr3:uid="{A9AF02AB-E3B4-47C1-AFA1-61B7944F0319}" name="Realized Gain/Loss" dataDxfId="268"/>
    <tableColumn id="9" xr3:uid="{54CA8F9F-BE4C-4151-A3D5-FBD572C3B674}" name="Sale Number" dataDxfId="267"/>
    <tableColumn id="10" xr3:uid="{3F9345C0-114D-4EA0-B109-E3D2EC0EC6D5}" name="Date of Sale" dataDxfId="266"/>
    <tableColumn id="11" xr3:uid="{1646F5C3-C950-4578-9D96-F0D38CF9C886}" name="&gt;1 Year?" dataDxfId="265"/>
    <tableColumn id="12" xr3:uid="{AEC7D57E-DABF-4C18-AD1E-E8CF25444947}" name="Total Sale Gain" dataDxfId="264"/>
    <tableColumn id="13" xr3:uid="{63ECE097-7080-4F5F-9471-31F0CBA385D3}" name="% Gain Above 1 Year" dataDxfId="263"/>
    <tableColumn id="14" xr3:uid="{B8410831-53E2-4AC1-9EFA-29BB1561C7C5}" name="Total Sale Loss" dataDxfId="262"/>
    <tableColumn id="15" xr3:uid="{28E49F91-410B-4BD1-AC90-D4245F03E633}" name="% Loss Above 1 Year" dataDxfId="26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58378593-82A6-4894-A1DD-E4494BCF080F}" name="bnb_income_txn31" displayName="bnb_income_txn31" ref="D54:R57" totalsRowShown="0" headerRowDxfId="260">
  <autoFilter ref="D54:R57" xr:uid="{58378593-82A6-4894-A1DD-E4494BCF080F}"/>
  <tableColumns count="15">
    <tableColumn id="1" xr3:uid="{CC00D634-ACA5-4573-965A-752E44E95231}" name="Date of Buy/Income"/>
    <tableColumn id="2" xr3:uid="{71914FE5-CA0E-4E31-BBDA-2494840CF0BE}" name="Buy or Income"/>
    <tableColumn id="3" xr3:uid="{FA82BAB5-5EF5-4E1C-9854-FA02C332D9FF}" name="Price/Coin"/>
    <tableColumn id="4" xr3:uid="{77DD023E-6674-44F7-A8A8-0BE623EA387D}" name="Coins Gained"/>
    <tableColumn id="5" xr3:uid="{9530F8D3-B27B-4C7A-BE20-16A8B072B2DF}" name="Value Gained"/>
    <tableColumn id="6" xr3:uid="{BA53CE7A-89C5-4181-B7C7-459B8C25EDD2}" name="Coins Sold (#)"/>
    <tableColumn id="7" xr3:uid="{E0B7D78F-C9B5-4814-8253-5B62B15E1133}" name="Price Sold At"/>
    <tableColumn id="8" xr3:uid="{55727061-30F0-4EA3-915A-615BAF531925}" name="Realized Gain/Loss"/>
    <tableColumn id="9" xr3:uid="{B1255318-61FA-4B7E-8483-0BE1A50A979D}" name="Sale Number"/>
    <tableColumn id="10" xr3:uid="{921F8B09-F0D3-4F79-BC4A-1E4F5BB945E7}" name="Date of Sale"/>
    <tableColumn id="11" xr3:uid="{A4D855F0-ABB8-445C-89CB-714407A9D6CD}" name="&gt;1 Year?"/>
    <tableColumn id="12" xr3:uid="{B95BF3ED-30D4-4304-AA77-76EC6B6BBD2B}" name="Total Sale Gain"/>
    <tableColumn id="13" xr3:uid="{F2DF6E40-0B09-445F-A413-0D85CB0CBFE7}" name="% Gain Above 1 Year"/>
    <tableColumn id="14" xr3:uid="{E59BAAD7-3CA7-47A6-AB08-84707D02E602}" name="Total Sale Loss"/>
    <tableColumn id="15" xr3:uid="{EE418A5A-CAD1-4241-A70E-8518C484EBEF}" name="% Loss Above 1 Yea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3F1C601-886F-481E-8ABE-F0322819D218}" name="bnb_income_txn32" displayName="bnb_income_txn32" ref="D61:R65" totalsRowShown="0" headerRowDxfId="259">
  <autoFilter ref="D61:R65" xr:uid="{83F1C601-886F-481E-8ABE-F0322819D218}"/>
  <tableColumns count="15">
    <tableColumn id="1" xr3:uid="{9505C233-79D0-458A-A66D-D0E124447A60}" name="Date of Buy/Income"/>
    <tableColumn id="2" xr3:uid="{0E87C633-B4A0-4910-AD49-B52EAE82124B}" name="Buy or Income"/>
    <tableColumn id="3" xr3:uid="{1CA1A69B-6D16-4DFA-93F8-9344D9932BB3}" name="Price/Coin"/>
    <tableColumn id="4" xr3:uid="{8DFCC920-7C40-451D-8CE5-354CB0535718}" name="Coins Gained"/>
    <tableColumn id="5" xr3:uid="{F59C426F-6DDC-4775-9F11-FADAE02B19FC}" name="Value Gained"/>
    <tableColumn id="6" xr3:uid="{E3E223C6-522D-4A77-B5EA-9FE66F317AF8}" name="Coins Sold (#)"/>
    <tableColumn id="7" xr3:uid="{1BE5B389-388F-4DDE-9B9A-0918E031C88E}" name="Price Sold At"/>
    <tableColumn id="8" xr3:uid="{C29B1EC4-675B-4155-9347-57270875F28D}" name="Realized Gain/Loss"/>
    <tableColumn id="9" xr3:uid="{3C619A94-52EA-44C2-A470-1F8F9D5E2C65}" name="Sale Number"/>
    <tableColumn id="10" xr3:uid="{D17BCDC1-9BC1-425D-97F5-3C20663B3224}" name="Date of Sale"/>
    <tableColumn id="11" xr3:uid="{CEC13628-27A3-4D32-826A-D8852674FA76}" name="&gt;1 Year?"/>
    <tableColumn id="12" xr3:uid="{ACB464FE-3806-4A43-A929-1AB634612C62}" name="Total Sale Gain"/>
    <tableColumn id="13" xr3:uid="{BCC85504-375D-42BC-B545-31535BC59953}" name="% Gain Above 1 Year"/>
    <tableColumn id="14" xr3:uid="{7B778C7E-D060-4E89-8DD5-3814CEBF8B59}" name="Total Sale Loss"/>
    <tableColumn id="15" xr3:uid="{05AD04B5-888D-4A0D-B69B-E3D850FCC410}" name="% Loss Above 1 Yea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47060482-A4A6-47F3-B5AC-954714D24D95}" name="bnb_income_txn33" displayName="bnb_income_txn33" ref="D73:R78" totalsRowShown="0" headerRowDxfId="258" dataDxfId="257">
  <autoFilter ref="D73:R78" xr:uid="{47060482-A4A6-47F3-B5AC-954714D24D95}"/>
  <tableColumns count="15">
    <tableColumn id="1" xr3:uid="{65A6555B-C3A5-4F72-B6BE-A1E9211BF63D}" name="Date of Buy/Income" dataDxfId="256"/>
    <tableColumn id="2" xr3:uid="{AC5C06DB-313C-4F0D-A198-5AFD39142B94}" name="Buy or Income" dataDxfId="255"/>
    <tableColumn id="3" xr3:uid="{D0F358B8-8D36-4268-AD95-46B961B93129}" name="Price/Coin" dataDxfId="254"/>
    <tableColumn id="4" xr3:uid="{708460C2-213D-4A6C-9CF7-85A8689ED697}" name="Coins Gained" dataDxfId="253"/>
    <tableColumn id="5" xr3:uid="{EF10BD09-6A08-44CC-86C7-B8961AC8A8A9}" name="Value Gained" dataDxfId="252"/>
    <tableColumn id="6" xr3:uid="{CA6968C9-131D-4611-B86F-DD18C43A7AC3}" name="Coins Sold (#)" dataDxfId="251"/>
    <tableColumn id="7" xr3:uid="{C7A0B622-50A7-452D-BD6E-0926CE13C364}" name="Price Sold At" dataDxfId="250"/>
    <tableColumn id="8" xr3:uid="{7F1BB8FD-8DFE-4ECE-9A41-66BE4624AE62}" name="Realized Gain/Loss" dataDxfId="249"/>
    <tableColumn id="9" xr3:uid="{7A32AE7B-5A7C-414F-8547-7D3BD4E8631D}" name="Sale Number" dataDxfId="248"/>
    <tableColumn id="10" xr3:uid="{7806D874-E8F9-4C38-87E7-6CB9D7266EB1}" name="Date of Sale" dataDxfId="247"/>
    <tableColumn id="11" xr3:uid="{B948E387-1615-4D4B-9F34-CC18205661F2}" name="&gt;1 Year?" dataDxfId="246"/>
    <tableColumn id="12" xr3:uid="{28D55860-8BC3-4BBC-B97E-C04297EC6BD0}" name="Total Sale Gain" dataDxfId="245"/>
    <tableColumn id="13" xr3:uid="{BC32B670-0B76-427D-AAAC-EE242D2C4FB2}" name="% Gain Above 1 Year" dataDxfId="244"/>
    <tableColumn id="14" xr3:uid="{FC55165C-3851-44CE-889B-83339EDDD3FD}" name="Total Sale Loss" dataDxfId="243"/>
    <tableColumn id="15" xr3:uid="{BA426F68-7034-48BB-9C09-C53C936B2D8A}" name="% Loss Above 1 Year" dataDxfId="24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45274EE9-524B-4E3C-A7A4-E1AFB84AAC1C}" name="bnb_income_txn43" displayName="bnb_income_txn43" ref="D84:R90" totalsRowShown="0" headerRowDxfId="241" dataDxfId="240">
  <autoFilter ref="D84:R90" xr:uid="{45274EE9-524B-4E3C-A7A4-E1AFB84AAC1C}"/>
  <tableColumns count="15">
    <tableColumn id="1" xr3:uid="{15D73056-9DA7-41D3-BC37-4D7D159398C6}" name="Date of Buy/Income" dataDxfId="239"/>
    <tableColumn id="2" xr3:uid="{ED9467E5-AA3B-4856-812F-79CA2EE979BC}" name="Buy or Income" dataDxfId="238"/>
    <tableColumn id="3" xr3:uid="{28FC092F-7965-4C9F-9389-A4E547E4163C}" name="Price/Coin" dataDxfId="237"/>
    <tableColumn id="4" xr3:uid="{EBC1E9C6-5973-47B1-9F77-1FEA30CB97A9}" name="Coins Gained" dataDxfId="236"/>
    <tableColumn id="5" xr3:uid="{02904B67-8733-43C0-A611-844A467A59AC}" name="Value Gained" dataDxfId="235"/>
    <tableColumn id="6" xr3:uid="{9D8ABC0A-B05D-4B9C-8626-CC29A78D6041}" name="Coins Sold (#)" dataDxfId="234"/>
    <tableColumn id="7" xr3:uid="{CD6574A5-F476-41A8-AC3D-4DEC1546D197}" name="Price Sold At" dataDxfId="233"/>
    <tableColumn id="8" xr3:uid="{1C696038-85FF-42D6-92D0-F636985F0AAF}" name="Realized Gain/Loss" dataDxfId="232"/>
    <tableColumn id="9" xr3:uid="{8FC192F9-6092-457B-8C8D-5A81E42E191C}" name="Sale Number" dataDxfId="231"/>
    <tableColumn id="10" xr3:uid="{ED79D24A-F7A1-4C15-A216-EC8475D736F8}" name="Date of Sale" dataDxfId="230"/>
    <tableColumn id="11" xr3:uid="{EB30FFFE-791A-4B5B-8599-05F103D9B704}" name="&gt;1 Year?" dataDxfId="229"/>
    <tableColumn id="12" xr3:uid="{D5DE2A7D-818C-42E6-B7BB-24EFBFEABC30}" name="Total Sale Gain" dataDxfId="228"/>
    <tableColumn id="13" xr3:uid="{52AAE678-B395-491B-BE03-A0E9C0C552B5}" name="% Gain Above 1 Year" dataDxfId="227"/>
    <tableColumn id="14" xr3:uid="{FDF2307D-4A7C-4B89-8FD5-67112B20F5AF}" name="Total Sale Loss" dataDxfId="226"/>
    <tableColumn id="15" xr3:uid="{6AAC74AE-83DF-44CA-962B-E86FE64E0A1C}" name="% Loss Above 1 Year" dataDxfId="22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49FB0584-1F1C-433E-AD6B-29445893CE59}" name="bnb_summary_tbl_txn44" displayName="bnb_summary_tbl_txn44" ref="D100:K103" totalsRowShown="0" headerRowDxfId="224" dataDxfId="223">
  <autoFilter ref="D100:K103" xr:uid="{49FB0584-1F1C-433E-AD6B-29445893CE59}"/>
  <tableColumns count="8">
    <tableColumn id="1" xr3:uid="{3D41AC4B-2D76-4D00-8E47-D1983D33E269}" name="Sale Number:" dataDxfId="222"/>
    <tableColumn id="2" xr3:uid="{DD9AED20-D57D-4004-8C55-EFC0D3AA18ED}" name="Date of Sale" dataDxfId="221"/>
    <tableColumn id="3" xr3:uid="{24AB1F7C-0D78-45BA-B41F-CEC77553B491}" name="Coins Sold (#)" dataDxfId="220"/>
    <tableColumn id="4" xr3:uid="{FF22243A-2853-4A53-828D-19E7577280F2}" name="Sell Price:" dataDxfId="219"/>
    <tableColumn id="5" xr3:uid="{7075F6B3-E9A6-4934-8038-EAC9FD61A7A5}" name="Gain:" dataDxfId="218"/>
    <tableColumn id="6" xr3:uid="{8082B90B-7127-40A0-AA23-96A78F7164AB}" name="% Gain Above 1 Year" dataDxfId="217"/>
    <tableColumn id="7" xr3:uid="{057EF449-6D94-408D-AB14-DBA3F80DB928}" name="Loss:" dataDxfId="216"/>
    <tableColumn id="8" xr3:uid="{E8F51A2B-5D28-4796-9B15-8BA3A4D0B888}" name="% Loss Above 1 Year" dataDxfId="21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8" xr:uid="{FBBDC2E7-BB3E-45B1-8899-5CA725321361}" name="bnb_yearly_income_txn239" displayName="bnb_yearly_income_txn239" ref="D112:F115" totalsRowShown="0" headerRowDxfId="214" dataDxfId="213">
  <autoFilter ref="D112:F115" xr:uid="{FBBDC2E7-BB3E-45B1-8899-5CA725321361}"/>
  <tableColumns count="3">
    <tableColumn id="1" xr3:uid="{322EAEE3-68A1-4BEC-9A32-E0389E3C20AA}" name="Year" dataDxfId="212"/>
    <tableColumn id="2" xr3:uid="{E2EED21F-CE80-4A6C-8CB0-A5CD13B8CADE}" name="Coins Total" dataDxfId="211"/>
    <tableColumn id="3" xr3:uid="{8B5A0A81-66EE-4E38-AADC-7CAE8AF574BF}" name="Income Earned" dataDxfId="2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0" xr:uid="{2E68644A-074A-4E90-978E-3F0E6EF6668E}" name="bnb_year_sum_tbl_txn261" displayName="bnb_year_sum_tbl_txn261" ref="D123:I126" totalsRowShown="0" headerRowDxfId="209" dataDxfId="208">
  <autoFilter ref="D123:I126" xr:uid="{2E68644A-074A-4E90-978E-3F0E6EF6668E}"/>
  <tableColumns count="6">
    <tableColumn id="1" xr3:uid="{BFF04017-5EC6-4AF0-A7D2-F6CC23AC3EDF}" name="Year" dataDxfId="207"/>
    <tableColumn id="2" xr3:uid="{9447D2EA-DC19-425B-B0AB-A0AB8496ABAE}" name="Income" dataDxfId="206"/>
    <tableColumn id="3" xr3:uid="{02C8C628-F7DD-4905-AE2B-BF251810DFFD}" name="Short Gain" dataDxfId="205"/>
    <tableColumn id="4" xr3:uid="{573F56EC-76A6-4413-B607-89403FF48757}" name="Long Gain" dataDxfId="204"/>
    <tableColumn id="5" xr3:uid="{E6527BAD-F5EF-41D6-AA92-FFDA77C6D509}" name="Short Loss" dataDxfId="203"/>
    <tableColumn id="6" xr3:uid="{1240A927-2DC7-453F-92D5-02012B10A978}" name="Long Loss" dataDxfId="20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2" xr:uid="{C51C5373-CD68-4B65-838E-98AA62DD52F2}" name="_2020_tbl283" displayName="_2020_tbl283" ref="D134:K139" totalsRowShown="0" dataDxfId="201">
  <autoFilter ref="D134:K139" xr:uid="{C51C5373-CD68-4B65-838E-98AA62DD52F2}"/>
  <tableColumns count="8">
    <tableColumn id="1" xr3:uid="{890B0721-75D7-47F4-A38F-58E371E29EE3}" name="Coin" dataDxfId="200"/>
    <tableColumn id="2" xr3:uid="{3BF93D40-A2B4-44E8-84D7-40F2679BA38D}" name="Mined/Staked Income" dataDxfId="199"/>
    <tableColumn id="3" xr3:uid="{BC613A7D-E5B2-42AD-BEBA-3AD2902D6B3C}" name="Long Gain" dataDxfId="198"/>
    <tableColumn id="4" xr3:uid="{AE1604DD-473D-480D-B13A-988EEA41E364}" name="Long Loss" dataDxfId="197"/>
    <tableColumn id="5" xr3:uid="{4EF0D4F5-EC21-4BF2-9B11-738C3204B519}" name="Short Gain" dataDxfId="196"/>
    <tableColumn id="6" xr3:uid="{4DD6B84D-70D5-4050-98D8-C05AC5145F4D}" name="Short Loss" dataDxfId="195"/>
    <tableColumn id="7" xr3:uid="{2D1656F5-DCBD-455D-81F3-9BE5D7963925}" name="Realized Gain Loss" dataDxfId="194"/>
    <tableColumn id="8" xr3:uid="{CF86D9C5-3986-4C17-9FD5-D20662B2CEC9}" name="Holdings by EOY" dataDxfId="19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AA05CF05-6044-47A3-A3EC-9F8B92FFD77C}" name="2020_tbl" displayName="_2020_tbl" ref="A2:H7" totalsRowShown="0" dataDxfId="8">
  <autoFilter ref="A2:H7" xr:uid="{AA05CF05-6044-47A3-A3EC-9F8B92FFD77C}"/>
  <tableColumns count="8">
    <tableColumn id="1" xr3:uid="{9E163B50-A692-4888-A7B4-A9BE4A9A72D6}" name="Coin" dataDxfId="7"/>
    <tableColumn id="2" xr3:uid="{014E7D37-2B25-4C24-9104-C5F60F23FCF3}" name="Mined/Staked Income" dataDxfId="6"/>
    <tableColumn id="3" xr3:uid="{F0228145-7BA1-45C4-BD45-C28BEB880EE2}" name="Long Gain" dataDxfId="5"/>
    <tableColumn id="4" xr3:uid="{5DDFC55E-7BB3-4452-94B3-2EC4798196EB}" name="Long Loss" dataDxfId="4"/>
    <tableColumn id="5" xr3:uid="{C1ABFD97-125D-438D-ABC2-3E9089423A9C}" name="Short Gain" dataDxfId="3"/>
    <tableColumn id="6" xr3:uid="{1B99E458-01EB-4F1E-9F44-AA6327116A0E}" name="Short Loss" dataDxfId="2"/>
    <tableColumn id="7" xr3:uid="{C04A3767-D660-403A-9082-7B06D0660841}" name="Realized Gain Loss" dataDxfId="1"/>
    <tableColumn id="8" xr3:uid="{EB67E910-8D24-4F67-BD52-E170CD68AD07}" name="Holdings by EOY" dataDxfId="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0CAA4B46-DD03-4E76-A1AF-42CE82B3922F}" name="eth_income_txn" displayName="eth_income_txn" ref="A4:O7" totalsRowShown="0" headerRowDxfId="48" dataDxfId="29">
  <autoFilter ref="A4:O7" xr:uid="{0CAA4B46-DD03-4E76-A1AF-42CE82B3922F}"/>
  <tableColumns count="15">
    <tableColumn id="1" xr3:uid="{57E6B31A-EB95-40CD-B4BB-402F86B98C1A}" name="Date of Buy/Income" dataDxfId="44"/>
    <tableColumn id="2" xr3:uid="{425E64F4-6CFB-4EEA-A53A-B120E405C88B}" name="Buy or Income" dataDxfId="43"/>
    <tableColumn id="3" xr3:uid="{1E606F46-EAF2-4C04-9712-A07A772A043F}" name="Price/Coin" dataDxfId="42"/>
    <tableColumn id="4" xr3:uid="{F5151F7B-AAE5-476C-9ED1-C66B87F96D25}" name="Coins Gained" dataDxfId="41"/>
    <tableColumn id="5" xr3:uid="{D6AE1396-8AA9-4F55-8078-DD275B6FCABA}" name="Value Gained" dataDxfId="40"/>
    <tableColumn id="6" xr3:uid="{0CDBC061-427A-49FC-9BA6-2D8063F7D1AF}" name="Coins Sold (#)" dataDxfId="39"/>
    <tableColumn id="7" xr3:uid="{37D90035-E6F0-4EF1-A319-FAF7190A5A36}" name="Price Sold At" dataDxfId="38"/>
    <tableColumn id="8" xr3:uid="{6D7DA218-E09D-4B15-9B2C-127754CB0DE6}" name="Realized Gain/Loss" dataDxfId="37"/>
    <tableColumn id="9" xr3:uid="{433FB054-B730-45F3-8B86-74A526B45461}" name="Sale Number" dataDxfId="36"/>
    <tableColumn id="10" xr3:uid="{F5D35CA8-22C5-4D5D-8BD2-4703BE19D214}" name="Date of Sale" dataDxfId="35"/>
    <tableColumn id="11" xr3:uid="{12576062-9044-4BBE-9D09-1F42BCA6577D}" name="&gt;1 Year?" dataDxfId="34"/>
    <tableColumn id="12" xr3:uid="{FE2D55CA-8519-470C-9A16-77C5575171E4}" name="Total Sale Gain" dataDxfId="33"/>
    <tableColumn id="13" xr3:uid="{C40BD558-53CC-43EB-8484-8C9DBB5372AF}" name="% Gain Above 1 Year" dataDxfId="32"/>
    <tableColumn id="14" xr3:uid="{EBE2B543-6586-46F0-8757-7BB875DEF34E}" name="Total Sale Loss" dataDxfId="31"/>
    <tableColumn id="15" xr3:uid="{F2A03592-DB48-4B1C-A085-75EB6574F0B9}" name="% Loss Above 1 Year" dataDxfId="3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A52F562D-702D-490A-9C3D-4F691649984D}" name="eth_summary_tbl_txn" displayName="eth_summary_tbl_txn" ref="R4:Y5" totalsRowShown="0" headerRowDxfId="47" dataDxfId="28">
  <autoFilter ref="R4:Y5" xr:uid="{A52F562D-702D-490A-9C3D-4F691649984D}"/>
  <tableColumns count="8">
    <tableColumn id="1" xr3:uid="{6FAC52C2-C28D-4DC6-A09F-03834C86D633}" name="Sale Number:" dataDxfId="22"/>
    <tableColumn id="2" xr3:uid="{8EE2CFDE-EB9A-44D0-9870-68ED278D9CF0}" name="Date of Sale" dataDxfId="20"/>
    <tableColumn id="3" xr3:uid="{F11F05A5-01A3-4184-BFEA-CF4CA4E9F597}" name="Coins Sold (#)" dataDxfId="21"/>
    <tableColumn id="4" xr3:uid="{578B4F4F-BE06-4EF0-B9C4-E4AE23077E38}" name="Sell Price:" dataDxfId="25"/>
    <tableColumn id="5" xr3:uid="{9026526C-5FFA-4BB5-8E95-0AF563C06FFC}" name="Gain:" dataDxfId="23"/>
    <tableColumn id="6" xr3:uid="{2B8FFBBB-967E-4A20-BAE6-ADA228683E09}" name="% Gain Above 1 Year" dataDxfId="24"/>
    <tableColumn id="7" xr3:uid="{FB0FF29D-E888-4E4C-97C5-000B81EEA28F}" name="Loss:" dataDxfId="26"/>
    <tableColumn id="8" xr3:uid="{4E179C12-0F3E-4E90-AB6C-B3663F082936}" name="% Loss Above 1 Year" dataDxfId="2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EBDC00FB-1268-40F6-9F1B-56E80DA902AC}" name="eth_yearly_income_txn" displayName="eth_yearly_income_txn" ref="AA4:AC7" totalsRowShown="0" headerRowDxfId="46" dataDxfId="18">
  <autoFilter ref="AA4:AC7" xr:uid="{EBDC00FB-1268-40F6-9F1B-56E80DA902AC}"/>
  <tableColumns count="3">
    <tableColumn id="1" xr3:uid="{E0CCC689-5128-4AB9-B289-7A1979D47D46}" name="Year" dataDxfId="19"/>
    <tableColumn id="2" xr3:uid="{12FFCDB0-77AA-4E9D-BC87-1812302BAFDC}" name="Coins Total" dataDxfId="17"/>
    <tableColumn id="3" xr3:uid="{BAD005AB-0179-43A2-80C9-A5C088FA0572}" name="Income Earned" dataDxfId="1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34CC1D01-D1C2-4906-873B-70047F1AA0EB}" name="eth_year_sum_tbl_txn" displayName="eth_year_sum_tbl_txn" ref="AE4:AJ7" totalsRowShown="0" headerRowDxfId="45" dataDxfId="9">
  <autoFilter ref="AE4:AJ7" xr:uid="{34CC1D01-D1C2-4906-873B-70047F1AA0EB}"/>
  <tableColumns count="6">
    <tableColumn id="1" xr3:uid="{FD6E881D-4BB3-47B0-98D7-96AF20A55485}" name="Year" dataDxfId="15"/>
    <tableColumn id="2" xr3:uid="{A169E11C-3BEA-46C5-9C66-84E8419CFA91}" name="Income" dataDxfId="14"/>
    <tableColumn id="3" xr3:uid="{DF75C356-8CB3-4639-A0F2-D0A034D6CFF1}" name="Short Gain" dataDxfId="13"/>
    <tableColumn id="4" xr3:uid="{861E2CBB-6637-4D20-B05C-A8987FCC6E47}" name="Long Gain" dataDxfId="12"/>
    <tableColumn id="5" xr3:uid="{EDA4004C-42AC-4C1C-B933-94AF9164A5B5}" name="Short Loss" dataDxfId="11"/>
    <tableColumn id="6" xr3:uid="{569215C7-25F9-4D58-AB31-81C736B327A4}" name="Long Loss" dataDxfId="1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0B0006A1-4C35-4D88-8AF1-3516042CA95D}" name="usdc_income_txn" displayName="usdc_income_txn" ref="A4:O6" totalsRowShown="0" headerRowDxfId="88" dataDxfId="69">
  <autoFilter ref="A4:O6" xr:uid="{0B0006A1-4C35-4D88-8AF1-3516042CA95D}"/>
  <tableColumns count="15">
    <tableColumn id="1" xr3:uid="{7C1F1BDA-A2BB-487A-AC3F-623E4C029221}" name="Date of Buy/Income" dataDxfId="84"/>
    <tableColumn id="2" xr3:uid="{A4C5D487-238E-4311-A2E3-79FBFEEDE63D}" name="Buy or Income" dataDxfId="83"/>
    <tableColumn id="3" xr3:uid="{13BCCD90-4DA2-4F7B-9E1C-AE9994C8350E}" name="Price/Coin" dataDxfId="82"/>
    <tableColumn id="4" xr3:uid="{27568FF3-1402-417F-857A-8F3C11BC74C5}" name="Coins Gained" dataDxfId="81"/>
    <tableColumn id="5" xr3:uid="{A4D30ABA-ABF2-4D8F-89C3-1DC368DEC94D}" name="Value Gained" dataDxfId="80"/>
    <tableColumn id="6" xr3:uid="{1E0EA21F-7252-426C-9858-1195783A93E6}" name="Coins Sold (#)" dataDxfId="79"/>
    <tableColumn id="7" xr3:uid="{F24D01B9-6366-4611-A281-9B70B7A39DFA}" name="Price Sold At" dataDxfId="78"/>
    <tableColumn id="8" xr3:uid="{C5CE488F-DC8C-4404-9B93-31596DD4DD53}" name="Realized Gain/Loss" dataDxfId="77"/>
    <tableColumn id="9" xr3:uid="{A1E908A2-1DB0-40F4-BFA0-FBC9DC8032EA}" name="Sale Number" dataDxfId="76"/>
    <tableColumn id="10" xr3:uid="{F9538419-8290-4627-921B-F9668175FE5E}" name="Date of Sale" dataDxfId="75"/>
    <tableColumn id="11" xr3:uid="{9A7825BC-CCD0-4671-BC2E-046A93A844EA}" name="&gt;1 Year?" dataDxfId="74"/>
    <tableColumn id="12" xr3:uid="{7632409E-506C-4631-9CFB-5F360DE36360}" name="Total Sale Gain" dataDxfId="73"/>
    <tableColumn id="13" xr3:uid="{9FC527FE-8A47-41B4-A444-3D86814AE8E5}" name="% Gain Above 1 Year" dataDxfId="72"/>
    <tableColumn id="14" xr3:uid="{9D8727DD-E410-4596-8EFE-E8DB1C723AAA}" name="Total Sale Loss" dataDxfId="71"/>
    <tableColumn id="15" xr3:uid="{761624AC-7E8F-4BF3-BE37-66E58AF145F2}" name="% Loss Above 1 Year" dataDxfId="7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3E4DA199-B4DD-4806-8B44-D81A8D9DA79F}" name="usdc_summary_tbl_txn" displayName="usdc_summary_tbl_txn" ref="R4:Y5" totalsRowShown="0" headerRowDxfId="87" dataDxfId="68">
  <autoFilter ref="R4:Y5" xr:uid="{3E4DA199-B4DD-4806-8B44-D81A8D9DA79F}"/>
  <tableColumns count="8">
    <tableColumn id="1" xr3:uid="{E80F9572-CA9E-402D-B119-58D8530891D2}" name="Sale Number:" dataDxfId="62"/>
    <tableColumn id="2" xr3:uid="{EF4AE8FF-90C4-4AF3-A739-0A051A8DFCEA}" name="Date of Sale" dataDxfId="60"/>
    <tableColumn id="3" xr3:uid="{A118E88D-98CB-4A67-9BED-19F292224A76}" name="Coins Sold (#)" dataDxfId="61"/>
    <tableColumn id="4" xr3:uid="{A0846EF7-C21B-4AAC-BB14-E239C19EE85D}" name="Sell Price:" dataDxfId="65"/>
    <tableColumn id="5" xr3:uid="{F9A43744-DDB9-44DB-A7D8-0A3197768212}" name="Gain:" dataDxfId="63"/>
    <tableColumn id="6" xr3:uid="{11DCF44E-CAFE-4222-8A49-D72EFB6F11A7}" name="% Gain Above 1 Year" dataDxfId="64"/>
    <tableColumn id="7" xr3:uid="{4432C334-DDEA-4162-8AC8-91BE6B9930E9}" name="Loss:" dataDxfId="66"/>
    <tableColumn id="8" xr3:uid="{D55378B4-BDE7-4BD1-BAA1-7D8E6A1C92D3}" name="% Loss Above 1 Year" dataDxfId="6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54A79AB8-4B2D-43CD-ACC1-CC682E552D26}" name="usdc_yearly_income_txn" displayName="usdc_yearly_income_txn" ref="AA4:AC7" totalsRowShown="0" headerRowDxfId="86" dataDxfId="58">
  <autoFilter ref="AA4:AC7" xr:uid="{54A79AB8-4B2D-43CD-ACC1-CC682E552D26}"/>
  <tableColumns count="3">
    <tableColumn id="1" xr3:uid="{5D282BB0-DE55-4A34-A062-452E8ABC4547}" name="Year" dataDxfId="59"/>
    <tableColumn id="2" xr3:uid="{35EB9373-DB6F-45E5-BEA7-9B2A4982FB32}" name="Coins Total" dataDxfId="57"/>
    <tableColumn id="3" xr3:uid="{48209E4C-F110-45CB-8068-09E74428AA26}" name="Income Earned" dataDxfId="5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9298FB07-BF2C-48C5-83FE-11F5D36F5425}" name="usdc_year_sum_tbl_txn" displayName="usdc_year_sum_tbl_txn" ref="AE4:AJ7" totalsRowShown="0" headerRowDxfId="85" dataDxfId="49">
  <autoFilter ref="AE4:AJ7" xr:uid="{9298FB07-BF2C-48C5-83FE-11F5D36F5425}"/>
  <tableColumns count="6">
    <tableColumn id="1" xr3:uid="{0CC96BEE-E777-4640-A805-DAEF5CABEF35}" name="Year" dataDxfId="55"/>
    <tableColumn id="2" xr3:uid="{991FBADC-215C-450F-8CDA-2F47C4C5CFC3}" name="Income" dataDxfId="54"/>
    <tableColumn id="3" xr3:uid="{06E4AE2A-63AC-4217-997A-FD2699A7D436}" name="Short Gain" dataDxfId="53"/>
    <tableColumn id="4" xr3:uid="{991D432E-B4DE-471A-85DF-06263475DF32}" name="Long Gain" dataDxfId="52"/>
    <tableColumn id="5" xr3:uid="{6340A9AA-78A7-4EE0-9602-FE8FAB407FBA}" name="Short Loss" dataDxfId="51"/>
    <tableColumn id="6" xr3:uid="{24AACE84-8191-465E-894C-343908976D44}" name="Long Loss" dataDxfId="5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2558CAAC-0F6D-423E-8D12-B1EE2327C26A}" name="hnt_income_txn" displayName="hnt_income_txn" ref="A4:O8" totalsRowShown="0" headerRowDxfId="112">
  <autoFilter ref="A4:O8" xr:uid="{2558CAAC-0F6D-423E-8D12-B1EE2327C26A}"/>
  <tableColumns count="15">
    <tableColumn id="1" xr3:uid="{5BD70BD1-5974-4C2A-9779-D61F2F49A990}" name="Date of Buy/Income"/>
    <tableColumn id="2" xr3:uid="{7AB2DCC3-4181-4EC5-9249-8418B7FDBD0D}" name="Buy or Income"/>
    <tableColumn id="3" xr3:uid="{20B75BFB-D6B5-4D16-AA41-057DFBBEF20B}" name="Price/Coin"/>
    <tableColumn id="4" xr3:uid="{531AAB08-1123-4F21-97E4-9049351E9097}" name="Coins Gained"/>
    <tableColumn id="5" xr3:uid="{14A4F76D-699A-4349-97EA-361320673A05}" name="Value Gained"/>
    <tableColumn id="6" xr3:uid="{FCEA1FC6-B3D2-44FB-8AA0-4AA1A61C2039}" name="Coins Sold (#)"/>
    <tableColumn id="7" xr3:uid="{6BA51D38-D615-45FA-87AD-7CAC1D364DBB}" name="Price Sold At"/>
    <tableColumn id="8" xr3:uid="{5E7A06FE-28C6-4944-9DAC-0BCA9683B9DA}" name="Realized Gain/Loss"/>
    <tableColumn id="9" xr3:uid="{47D914F7-F716-4A83-B18D-71C1BC3E8902}" name="Sale Number"/>
    <tableColumn id="10" xr3:uid="{C67B7BAD-4AE6-485A-87BF-D08031CA1A0C}" name="Date of Sale"/>
    <tableColumn id="11" xr3:uid="{4CCB5BB9-6FCE-4BA0-9C7C-E27EEF779481}" name="&gt;1 Year?"/>
    <tableColumn id="12" xr3:uid="{300AFF94-D3A4-4C2C-B8CA-B63DB10FF125}" name="Total Sale Gain"/>
    <tableColumn id="13" xr3:uid="{4362EBDD-C749-4763-A710-C1F0530AE098}" name="% Gain Above 1 Year"/>
    <tableColumn id="14" xr3:uid="{E086933E-C25D-4C5C-AD93-EF0101BB682A}" name="Total Sale Loss"/>
    <tableColumn id="15" xr3:uid="{36320B83-FD7B-4D18-9FE9-796FA0B58BCA}" name="% Loss Above 1 Year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C2E6CF39-34A2-4D49-8DF7-F4B868F87F91}" name="hnt_summary_tbl_txn" displayName="hnt_summary_tbl_txn" ref="R4:Y5" totalsRowShown="0" headerRowDxfId="111" dataDxfId="108">
  <autoFilter ref="R4:Y5" xr:uid="{C2E6CF39-34A2-4D49-8DF7-F4B868F87F91}"/>
  <tableColumns count="8">
    <tableColumn id="1" xr3:uid="{4C65F6B6-6F29-4FA1-B39C-36625EC6027B}" name="Sale Number:" dataDxfId="102"/>
    <tableColumn id="2" xr3:uid="{6DE77B38-63AE-4E89-84AC-2FD2AD7BDAF5}" name="Date of Sale" dataDxfId="100"/>
    <tableColumn id="3" xr3:uid="{68EF4E58-D6A6-4470-BCDD-6C9D2D83421A}" name="Coins Sold (#)" dataDxfId="101"/>
    <tableColumn id="4" xr3:uid="{C8D8F928-A6CA-4394-ADBD-0E906A35968C}" name="Sell Price:" dataDxfId="105"/>
    <tableColumn id="5" xr3:uid="{E8542170-54C2-44C4-A3E1-C01E1E87B0C5}" name="Gain:" dataDxfId="103"/>
    <tableColumn id="6" xr3:uid="{A7211CE6-A7F3-43E2-8700-ACAEEEEA9C23}" name="% Gain Above 1 Year" dataDxfId="104"/>
    <tableColumn id="7" xr3:uid="{06D7457F-640C-4B33-B878-50AF91BE60C9}" name="Loss:" dataDxfId="106"/>
    <tableColumn id="8" xr3:uid="{80D50931-31B5-4AFE-995E-E1369BE8CD64}" name="% Loss Above 1 Year" dataDxfId="107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EDF1DFF7-FBE4-47E3-9D21-30A8AC4B6A93}" name="hnt_yearly_income_txn" displayName="hnt_yearly_income_txn" ref="AA4:AC7" totalsRowShown="0" headerRowDxfId="110" dataDxfId="98">
  <autoFilter ref="AA4:AC7" xr:uid="{EDF1DFF7-FBE4-47E3-9D21-30A8AC4B6A93}"/>
  <tableColumns count="3">
    <tableColumn id="1" xr3:uid="{E6CC0613-2130-4899-B037-E05343A26C99}" name="Year" dataDxfId="99"/>
    <tableColumn id="2" xr3:uid="{681B05C7-4632-4DB0-A0D6-1991F1C28F9F}" name="Coins Total" dataDxfId="97"/>
    <tableColumn id="3" xr3:uid="{5D830968-B1A9-4FD0-B321-B10C594303EC}" name="Income Earned" dataDxfId="9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5E3D7168-A51C-42E8-8341-E713E27FCAF5}" name="hnt_year_sum_tbl_txn" displayName="hnt_year_sum_tbl_txn" ref="AE4:AJ7" totalsRowShown="0" headerRowDxfId="109" dataDxfId="89">
  <autoFilter ref="AE4:AJ7" xr:uid="{5E3D7168-A51C-42E8-8341-E713E27FCAF5}"/>
  <tableColumns count="6">
    <tableColumn id="1" xr3:uid="{79E477DA-2A3B-4F1D-90BA-D0DB6D7B9774}" name="Year" dataDxfId="95"/>
    <tableColumn id="2" xr3:uid="{7CC78C9E-5D21-4A81-96B6-656896CC3A4F}" name="Income" dataDxfId="94"/>
    <tableColumn id="3" xr3:uid="{EBF8B800-83A5-4D74-B263-54AE92EBD242}" name="Short Gain" dataDxfId="93"/>
    <tableColumn id="4" xr3:uid="{A25B5030-B384-4B30-8E99-B5DAE2096F0A}" name="Long Gain" dataDxfId="92"/>
    <tableColumn id="5" xr3:uid="{5E71AB55-8FA7-41CA-BD79-7C89E42B538A}" name="Short Loss" dataDxfId="91"/>
    <tableColumn id="6" xr3:uid="{C18AEFB5-17DB-4912-B542-2181F0369383}" name="Long Loss" dataDxfId="90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99149A11-E769-497D-BC0C-FAA2B7853F08}" name="bnb_income_txn" displayName="bnb_income_txn" ref="A4:O10" totalsRowShown="0" headerRowDxfId="152" dataDxfId="148">
  <autoFilter ref="A4:O10" xr:uid="{99149A11-E769-497D-BC0C-FAA2B7853F08}"/>
  <tableColumns count="15">
    <tableColumn id="1" xr3:uid="{AAE55F7D-3453-449F-A1F5-2C6BD359559C}" name="Date of Buy/Income" dataDxfId="146"/>
    <tableColumn id="2" xr3:uid="{468EEC5A-FAAE-4B50-A1A8-55C861643A12}" name="Buy or Income" dataDxfId="147"/>
    <tableColumn id="3" xr3:uid="{C2F5C782-671D-436E-AE9B-25422468653D}" name="Price/Coin" dataDxfId="144"/>
    <tableColumn id="4" xr3:uid="{E59D1A3A-A46B-40C6-92FD-5D9F77A86B9D}" name="Coins Gained" dataDxfId="135"/>
    <tableColumn id="5" xr3:uid="{A1823655-0CA7-4B19-95B0-0390CD42168F}" name="Value Gained" dataDxfId="133"/>
    <tableColumn id="6" xr3:uid="{53D137A7-2D5E-40F9-B829-877A92CD198D}" name="Coins Sold (#)" dataDxfId="134"/>
    <tableColumn id="7" xr3:uid="{7C0C53B1-7EBC-4B9F-83D9-EFF28317F3F0}" name="Price Sold At" dataDxfId="136"/>
    <tableColumn id="8" xr3:uid="{F319EEF6-5AED-4C42-A00C-AC6D48D19666}" name="Realized Gain/Loss" dataDxfId="137"/>
    <tableColumn id="9" xr3:uid="{D0AE1C1E-5FA7-44F5-8CDF-DC2254DC6979}" name="Sale Number" dataDxfId="138"/>
    <tableColumn id="10" xr3:uid="{D634AA9B-205B-4A02-A0F0-CE74D1A1D395}" name="Date of Sale" dataDxfId="145"/>
    <tableColumn id="11" xr3:uid="{96D7639B-D93F-4785-9972-B6C2A70AAE09}" name="&gt;1 Year?" dataDxfId="141"/>
    <tableColumn id="12" xr3:uid="{113BCB6C-874E-4629-A37D-CEFDB2FA59CC}" name="Total Sale Gain" dataDxfId="139"/>
    <tableColumn id="13" xr3:uid="{99872819-7748-47EA-8170-699DC1C7B1DC}" name="% Gain Above 1 Year" dataDxfId="140"/>
    <tableColumn id="14" xr3:uid="{40071AE3-14BF-4DDE-9CB9-B90074A5AB4C}" name="Total Sale Loss" dataDxfId="142"/>
    <tableColumn id="15" xr3:uid="{7120C3F7-C1C9-4141-81F2-F7DB6A44E1D0}" name="% Loss Above 1 Year" dataDxfId="143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85D016B0-AEBD-4D87-A9CF-D0C9E16C4FE2}" name="bnb_summary_tbl_txn" displayName="bnb_summary_tbl_txn" ref="R4:Y7" totalsRowShown="0" headerRowDxfId="151" dataDxfId="124">
  <autoFilter ref="R4:Y7" xr:uid="{85D016B0-AEBD-4D87-A9CF-D0C9E16C4FE2}"/>
  <tableColumns count="8">
    <tableColumn id="1" xr3:uid="{126BEF9D-4980-498B-A011-50952E9AB670}" name="Sale Number:" dataDxfId="132"/>
    <tableColumn id="2" xr3:uid="{6DFEE150-5475-4133-A19F-C21D01C3B935}" name="Date of Sale" dataDxfId="131"/>
    <tableColumn id="3" xr3:uid="{0E43E764-C03C-4BAF-8DD1-5FDFACC32B51}" name="Coins Sold (#)" dataDxfId="130"/>
    <tableColumn id="4" xr3:uid="{5F81C9A8-69F5-4FBA-906B-F4256D93BE3D}" name="Sell Price:" dataDxfId="129"/>
    <tableColumn id="5" xr3:uid="{50D4AD26-35A2-4829-AABB-3DF46953EC6F}" name="Gain:" dataDxfId="128"/>
    <tableColumn id="6" xr3:uid="{DB4C2EB7-A7F2-43C0-AAEE-0FF895C4CC18}" name="% Gain Above 1 Year" dataDxfId="127"/>
    <tableColumn id="7" xr3:uid="{BFEC4375-60AE-49D9-87FE-10F6DA5E76DC}" name="Loss:" dataDxfId="126"/>
    <tableColumn id="8" xr3:uid="{D8C729CD-A66D-43DB-B082-EB7517C983D8}" name="% Loss Above 1 Year" dataDxfId="125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6E6F0BBF-F464-4FC0-B79B-25C7D3B1BA08}" name="bnb_yearly_income_txn" displayName="bnb_yearly_income_txn" ref="AA4:AC7" totalsRowShown="0" headerRowDxfId="150" dataDxfId="122">
  <autoFilter ref="AA4:AC7" xr:uid="{6E6F0BBF-F464-4FC0-B79B-25C7D3B1BA08}"/>
  <tableColumns count="3">
    <tableColumn id="1" xr3:uid="{2017BD87-5DB5-42D2-83F8-A5FA2E35055F}" name="Year" dataDxfId="123"/>
    <tableColumn id="2" xr3:uid="{584A0593-4F7C-4D38-AA4F-FA4A7918E540}" name="Coins Total" dataDxfId="121"/>
    <tableColumn id="3" xr3:uid="{5508C412-A771-4504-B912-B1062AD352B9}" name="Income Earned" dataDxfId="12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BD3D9453-B236-45D3-B1EA-63956C9E2CD0}" name="bnb_year_sum_tbl_txn" displayName="bnb_year_sum_tbl_txn" ref="AE4:AJ7" totalsRowShown="0" headerRowDxfId="149" dataDxfId="113">
  <autoFilter ref="AE4:AJ7" xr:uid="{BD3D9453-B236-45D3-B1EA-63956C9E2CD0}"/>
  <tableColumns count="6">
    <tableColumn id="1" xr3:uid="{3151EB06-7656-4497-819A-70F0C1C79ECA}" name="Year" dataDxfId="119"/>
    <tableColumn id="2" xr3:uid="{BF979289-72EF-4241-9715-C9D1FF7DD2F3}" name="Income" dataDxfId="118"/>
    <tableColumn id="3" xr3:uid="{08162D4A-C63B-46A7-91A6-9D97AA829390}" name="Short Gain" dataDxfId="117"/>
    <tableColumn id="4" xr3:uid="{4AE7E588-3AC6-48D2-9193-92AC57D539E6}" name="Long Gain" dataDxfId="116"/>
    <tableColumn id="5" xr3:uid="{7E620B25-8486-4FF9-B7EB-E1D74D354FE6}" name="Short Loss" dataDxfId="115"/>
    <tableColumn id="6" xr3:uid="{76E85101-4615-4272-AE8E-1E7212F150C2}" name="Long Loss" dataDxfId="114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F0975540-2A6B-4924-AE0B-59A62381CCA5}" name="btc_income_txn" displayName="btc_income_txn" ref="A4:O7" totalsRowShown="0" headerRowDxfId="192" dataDxfId="173">
  <autoFilter ref="A4:O7" xr:uid="{F0975540-2A6B-4924-AE0B-59A62381CCA5}"/>
  <tableColumns count="15">
    <tableColumn id="1" xr3:uid="{36FE4958-94FE-433E-94D3-91D65FC0F3EC}" name="Date of Buy/Income" dataDxfId="188"/>
    <tableColumn id="2" xr3:uid="{AD1BFE1A-E35F-4162-9939-4F20506BA804}" name="Buy or Income" dataDxfId="187"/>
    <tableColumn id="3" xr3:uid="{49D7F195-7189-4D9A-ADFE-B842ADC68ABB}" name="Price/Coin" dataDxfId="186"/>
    <tableColumn id="4" xr3:uid="{3B773229-28F9-4A0D-868B-0733E7B29C34}" name="Coins Gained" dataDxfId="185"/>
    <tableColumn id="5" xr3:uid="{B900B8AD-9864-4F95-B0DE-8950702FC25F}" name="Value Gained" dataDxfId="184"/>
    <tableColumn id="6" xr3:uid="{470E8394-13D1-47A7-8CCB-C88BC26A1F79}" name="Coins Sold (#)" dataDxfId="183"/>
    <tableColumn id="7" xr3:uid="{C1023AF5-BBED-42BF-9E06-0E284CD0E94C}" name="Price Sold At" dataDxfId="182"/>
    <tableColumn id="8" xr3:uid="{8D5D6787-FDA2-43BB-996C-DC9EC6E423D8}" name="Realized Gain/Loss" dataDxfId="181"/>
    <tableColumn id="9" xr3:uid="{9E6B5F29-1369-48F6-B717-FF3DA193EDB8}" name="Sale Number" dataDxfId="180"/>
    <tableColumn id="10" xr3:uid="{D414E8EB-03F0-4DE9-A4EA-6869C9A2811A}" name="Date of Sale" dataDxfId="179"/>
    <tableColumn id="11" xr3:uid="{2B46EEFA-7277-4744-BE34-68FA7D269E46}" name="&gt;1 Year?" dataDxfId="178"/>
    <tableColumn id="12" xr3:uid="{7990635A-54E8-4799-BAE0-409F4A6D6B2F}" name="Total Sale Gain" dataDxfId="177"/>
    <tableColumn id="13" xr3:uid="{53C8E4D8-FD42-461B-8520-CABFED2A45EF}" name="% Gain Above 1 Year" dataDxfId="176"/>
    <tableColumn id="14" xr3:uid="{2789CAFC-9404-483C-B774-BF7FE6952D8C}" name="Total Sale Loss" dataDxfId="175"/>
    <tableColumn id="15" xr3:uid="{B827D415-6857-42F6-BCF9-D92772A7B3CF}" name="% Loss Above 1 Year" dataDxfId="174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5B65954E-DCB0-4AD6-8E5E-FE2DB7997E82}" name="btc_summary_tbl_txn" displayName="btc_summary_tbl_txn" ref="R4:Y5" totalsRowShown="0" headerRowDxfId="191" dataDxfId="172">
  <autoFilter ref="R4:Y5" xr:uid="{5B65954E-DCB0-4AD6-8E5E-FE2DB7997E82}"/>
  <tableColumns count="8">
    <tableColumn id="1" xr3:uid="{30F93829-1004-444F-99A7-EA76241DB473}" name="Sale Number:" dataDxfId="166"/>
    <tableColumn id="2" xr3:uid="{F723170A-AF9D-4D2C-B6EC-7F8A2AFFD285}" name="Date of Sale" dataDxfId="164"/>
    <tableColumn id="3" xr3:uid="{E6CD847B-9FAC-49A9-911E-67CC6C8159F2}" name="Coins Sold (#)" dataDxfId="165"/>
    <tableColumn id="4" xr3:uid="{DA84DF5D-8B30-4740-8C39-CE977DCBA357}" name="Sell Price:" dataDxfId="169"/>
    <tableColumn id="5" xr3:uid="{FD07253C-FCA3-45DF-8537-8996DC11E73F}" name="Gain:" dataDxfId="167"/>
    <tableColumn id="6" xr3:uid="{00262375-31AC-486D-A9E1-5ED04BC3DB9B}" name="% Gain Above 1 Year" dataDxfId="168"/>
    <tableColumn id="7" xr3:uid="{64D01349-76F2-47E4-AD7F-1E9EFD9F3C66}" name="Loss:" dataDxfId="170"/>
    <tableColumn id="8" xr3:uid="{E0308E3D-3C4B-455F-B393-6C9257FDF2D5}" name="% Loss Above 1 Year" dataDxfId="17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655EB8D1-EF5C-42B4-B156-72DEBAD2D53F}" name="btc_yearly_income_txn" displayName="btc_yearly_income_txn" ref="AA4:AC7" totalsRowShown="0" headerRowDxfId="190" dataDxfId="162">
  <autoFilter ref="AA4:AC7" xr:uid="{655EB8D1-EF5C-42B4-B156-72DEBAD2D53F}"/>
  <tableColumns count="3">
    <tableColumn id="1" xr3:uid="{66418D6A-8F13-4822-8B8B-DD031E6D4DFA}" name="Year" dataDxfId="163"/>
    <tableColumn id="2" xr3:uid="{DAF18D8F-283B-48B9-B3D4-4BB7988FD222}" name="Coins Total" dataDxfId="161"/>
    <tableColumn id="3" xr3:uid="{A5258E90-6D8D-4626-BD0B-CE61338D206D}" name="Income Earned" dataDxfId="160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15FD4DF6-C498-4529-B3BC-5F67E53A4BA9}" name="btc_year_sum_tbl_txn" displayName="btc_year_sum_tbl_txn" ref="AE4:AJ7" totalsRowShown="0" headerRowDxfId="189" dataDxfId="153">
  <autoFilter ref="AE4:AJ7" xr:uid="{15FD4DF6-C498-4529-B3BC-5F67E53A4BA9}"/>
  <tableColumns count="6">
    <tableColumn id="1" xr3:uid="{A02FC658-EF50-41FC-9F22-629A43E8C7D5}" name="Year" dataDxfId="159"/>
    <tableColumn id="2" xr3:uid="{F0BCC327-BF90-4AA7-B0C5-D94EA0CCE91D}" name="Income" dataDxfId="158"/>
    <tableColumn id="3" xr3:uid="{FF24BDE4-D12F-4509-8E30-C0A74F4FFC08}" name="Short Gain" dataDxfId="157"/>
    <tableColumn id="4" xr3:uid="{7503281A-1CFC-4AB8-977F-616B11531547}" name="Long Gain" dataDxfId="156"/>
    <tableColumn id="5" xr3:uid="{501FCA5F-ABCE-4EBD-81B0-83CF7E36230D}" name="Short Loss" dataDxfId="155"/>
    <tableColumn id="6" xr3:uid="{A0374815-8DED-4AA1-9936-86821870B79D}" name="Long Loss" dataDxfId="15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B7977F8-B41D-4F26-8031-338E5AC96C7D}">
  <we:reference id="wa104379220" version="8.0.0.0" store="en-US" storeType="OMEX"/>
  <we:alternateReferences>
    <we:reference id="WA104379220" version="8.0.0.0" store="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0" Type="http://schemas.openxmlformats.org/officeDocument/2006/relationships/table" Target="../tables/table7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Relationship Id="rId4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Relationship Id="rId4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Relationship Id="rId4" Type="http://schemas.openxmlformats.org/officeDocument/2006/relationships/table" Target="../tables/table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Relationship Id="rId4" Type="http://schemas.openxmlformats.org/officeDocument/2006/relationships/table" Target="../tables/table2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table" Target="../tables/table28.xml"/><Relationship Id="rId4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3187B-DE8C-433C-98F5-6FDF2BE378E9}">
  <sheetPr codeName="Sheet1"/>
  <dimension ref="A1:S19"/>
  <sheetViews>
    <sheetView zoomScale="70" zoomScaleNormal="70" workbookViewId="0">
      <selection activeCell="A2" sqref="A2:K19"/>
    </sheetView>
  </sheetViews>
  <sheetFormatPr defaultRowHeight="14.5" x14ac:dyDescent="0.35"/>
  <cols>
    <col min="1" max="1" width="9" bestFit="1" customWidth="1"/>
    <col min="2" max="2" width="10.26953125" customWidth="1"/>
    <col min="3" max="3" width="16.453125" bestFit="1" customWidth="1"/>
    <col min="4" max="4" width="18.54296875" customWidth="1"/>
    <col min="5" max="5" width="23.08984375" customWidth="1"/>
    <col min="6" max="6" width="12.1796875" bestFit="1" customWidth="1"/>
    <col min="7" max="7" width="16.6328125" customWidth="1"/>
    <col min="8" max="8" width="12.81640625" customWidth="1"/>
    <col min="9" max="9" width="21.81640625" bestFit="1" customWidth="1"/>
    <col min="10" max="10" width="12.7265625" bestFit="1" customWidth="1"/>
  </cols>
  <sheetData>
    <row r="1" spans="1:19" ht="53" thickBot="1" x14ac:dyDescent="0.4">
      <c r="A1" s="1" t="s">
        <v>0</v>
      </c>
      <c r="B1" s="12" t="s">
        <v>47</v>
      </c>
      <c r="C1" s="12" t="s">
        <v>107</v>
      </c>
      <c r="D1" s="12" t="s">
        <v>1</v>
      </c>
      <c r="E1" s="12" t="s">
        <v>48</v>
      </c>
      <c r="F1" s="12" t="s">
        <v>49</v>
      </c>
      <c r="G1" s="12" t="s">
        <v>2</v>
      </c>
      <c r="H1" s="12" t="s">
        <v>3</v>
      </c>
      <c r="I1" s="12" t="s">
        <v>4</v>
      </c>
      <c r="J1" s="12" t="s">
        <v>15</v>
      </c>
      <c r="K1" s="12" t="s">
        <v>108</v>
      </c>
    </row>
    <row r="2" spans="1:19" ht="29" x14ac:dyDescent="0.35">
      <c r="A2" s="13" t="s">
        <v>54</v>
      </c>
      <c r="B2" s="13">
        <v>1</v>
      </c>
      <c r="C2" s="14">
        <v>44155.667361111096</v>
      </c>
      <c r="D2" s="13" t="s">
        <v>5</v>
      </c>
      <c r="E2" s="13" t="s">
        <v>59</v>
      </c>
      <c r="F2" s="13" t="s">
        <v>13</v>
      </c>
      <c r="G2" s="13" t="s">
        <v>11</v>
      </c>
      <c r="H2" s="17">
        <v>5.3400000000000001E-3</v>
      </c>
      <c r="I2" s="15">
        <v>50000</v>
      </c>
      <c r="J2" s="15">
        <f>Transaction_tbl[[#This Row],[Transacted Units]]*Transaction_tbl[[#This Row],[Transacted Price (per unit)]]</f>
        <v>267</v>
      </c>
      <c r="K2" s="15">
        <v>0</v>
      </c>
      <c r="L2" s="15"/>
    </row>
    <row r="3" spans="1:19" ht="29" x14ac:dyDescent="0.35">
      <c r="A3" s="13" t="s">
        <v>54</v>
      </c>
      <c r="B3" s="13">
        <v>2</v>
      </c>
      <c r="C3" s="14">
        <v>44156</v>
      </c>
      <c r="D3" s="13" t="s">
        <v>5</v>
      </c>
      <c r="E3" s="13" t="s">
        <v>59</v>
      </c>
      <c r="F3" s="13" t="s">
        <v>13</v>
      </c>
      <c r="G3" s="13" t="s">
        <v>11</v>
      </c>
      <c r="H3" s="17">
        <v>5.3400000000000001E-3</v>
      </c>
      <c r="I3" s="15">
        <v>52000</v>
      </c>
      <c r="J3" s="15">
        <f>Transaction_tbl[[#This Row],[Transacted Units]]*Transaction_tbl[[#This Row],[Transacted Price (per unit)]]</f>
        <v>277.68</v>
      </c>
      <c r="K3" s="15">
        <v>0</v>
      </c>
      <c r="L3" s="15"/>
      <c r="M3" s="16"/>
      <c r="N3" s="10"/>
      <c r="O3" s="10"/>
      <c r="P3" s="10"/>
      <c r="Q3" s="10"/>
      <c r="R3" s="10"/>
      <c r="S3" s="10"/>
    </row>
    <row r="4" spans="1:19" ht="29" x14ac:dyDescent="0.35">
      <c r="A4" s="13" t="s">
        <v>54</v>
      </c>
      <c r="B4" s="13">
        <v>3</v>
      </c>
      <c r="C4" s="14">
        <v>44157</v>
      </c>
      <c r="D4" s="13" t="s">
        <v>5</v>
      </c>
      <c r="E4" s="13" t="s">
        <v>59</v>
      </c>
      <c r="F4" s="13" t="s">
        <v>55</v>
      </c>
      <c r="G4" s="13" t="s">
        <v>8</v>
      </c>
      <c r="H4" s="17">
        <v>0.43</v>
      </c>
      <c r="I4" s="15">
        <v>555</v>
      </c>
      <c r="J4" s="15">
        <f>Transaction_tbl[[#This Row],[Transacted Units]]*Transaction_tbl[[#This Row],[Transacted Price (per unit)]]</f>
        <v>238.65</v>
      </c>
      <c r="K4" s="15">
        <v>0</v>
      </c>
      <c r="L4" s="15"/>
    </row>
    <row r="5" spans="1:19" ht="29" x14ac:dyDescent="0.35">
      <c r="A5" s="13" t="s">
        <v>54</v>
      </c>
      <c r="B5" s="13">
        <v>4</v>
      </c>
      <c r="C5" s="14">
        <v>44158</v>
      </c>
      <c r="D5" s="13" t="s">
        <v>5</v>
      </c>
      <c r="E5" s="13" t="s">
        <v>59</v>
      </c>
      <c r="F5" s="13" t="s">
        <v>55</v>
      </c>
      <c r="G5" s="13" t="s">
        <v>8</v>
      </c>
      <c r="H5" s="17">
        <v>0.52</v>
      </c>
      <c r="I5" s="15">
        <v>570</v>
      </c>
      <c r="J5" s="15">
        <f>Transaction_tbl[[#This Row],[Transacted Units]]*Transaction_tbl[[#This Row],[Transacted Price (per unit)]]</f>
        <v>296.39999999999998</v>
      </c>
      <c r="K5" s="15">
        <v>1.5</v>
      </c>
      <c r="L5" s="15" t="s">
        <v>56</v>
      </c>
      <c r="M5" s="16" t="s">
        <v>57</v>
      </c>
      <c r="N5" s="10"/>
      <c r="O5" s="10"/>
      <c r="P5" s="10"/>
      <c r="Q5" s="10"/>
      <c r="R5" s="10"/>
    </row>
    <row r="6" spans="1:19" ht="29" x14ac:dyDescent="0.35">
      <c r="A6" s="13" t="s">
        <v>54</v>
      </c>
      <c r="B6" s="13">
        <v>5</v>
      </c>
      <c r="C6" s="14">
        <v>44159</v>
      </c>
      <c r="D6" s="13" t="s">
        <v>32</v>
      </c>
      <c r="E6" s="13" t="s">
        <v>59</v>
      </c>
      <c r="F6" s="13" t="s">
        <v>66</v>
      </c>
      <c r="G6" s="13" t="s">
        <v>10</v>
      </c>
      <c r="H6" s="17">
        <v>0.13</v>
      </c>
      <c r="I6" s="15">
        <v>28</v>
      </c>
      <c r="J6" s="15">
        <f>Transaction_tbl[[#This Row],[Transacted Units]]*Transaction_tbl[[#This Row],[Transacted Price (per unit)]]</f>
        <v>3.64</v>
      </c>
      <c r="K6" s="15">
        <v>0</v>
      </c>
      <c r="L6" s="15"/>
      <c r="M6" s="20"/>
      <c r="N6" s="10"/>
      <c r="O6" s="10"/>
      <c r="P6" s="10"/>
      <c r="Q6" s="10"/>
      <c r="R6" s="10"/>
    </row>
    <row r="7" spans="1:19" ht="58" x14ac:dyDescent="0.35">
      <c r="A7" s="13" t="s">
        <v>54</v>
      </c>
      <c r="B7" s="13">
        <v>6</v>
      </c>
      <c r="C7" s="14">
        <v>44160</v>
      </c>
      <c r="D7" s="13" t="s">
        <v>32</v>
      </c>
      <c r="E7" s="13" t="s">
        <v>59</v>
      </c>
      <c r="F7" s="13" t="s">
        <v>66</v>
      </c>
      <c r="G7" s="13" t="s">
        <v>10</v>
      </c>
      <c r="H7" s="17">
        <v>0.1</v>
      </c>
      <c r="I7" s="15">
        <v>29</v>
      </c>
      <c r="J7" s="15">
        <f>Transaction_tbl[[#This Row],[Transacted Units]]*Transaction_tbl[[#This Row],[Transacted Price (per unit)]]</f>
        <v>2.9</v>
      </c>
      <c r="K7" s="15">
        <v>0</v>
      </c>
      <c r="L7" s="15" t="s">
        <v>56</v>
      </c>
      <c r="M7" s="16" t="s">
        <v>67</v>
      </c>
      <c r="N7" s="10"/>
      <c r="O7" s="10"/>
      <c r="P7" s="10"/>
      <c r="Q7" s="10"/>
      <c r="R7" s="10"/>
    </row>
    <row r="8" spans="1:19" ht="29" x14ac:dyDescent="0.35">
      <c r="A8" s="13" t="s">
        <v>54</v>
      </c>
      <c r="B8" s="13">
        <v>7</v>
      </c>
      <c r="C8" s="14">
        <v>44161</v>
      </c>
      <c r="D8" s="13" t="s">
        <v>32</v>
      </c>
      <c r="E8" s="13" t="s">
        <v>59</v>
      </c>
      <c r="F8" s="13" t="s">
        <v>66</v>
      </c>
      <c r="G8" s="13" t="s">
        <v>10</v>
      </c>
      <c r="H8" s="17">
        <v>0.09</v>
      </c>
      <c r="I8" s="15">
        <v>31</v>
      </c>
      <c r="J8" s="15">
        <f>Transaction_tbl[[#This Row],[Transacted Units]]*Transaction_tbl[[#This Row],[Transacted Price (per unit)]]</f>
        <v>2.79</v>
      </c>
      <c r="K8" s="15">
        <v>0</v>
      </c>
      <c r="L8" s="15"/>
      <c r="M8" s="20"/>
      <c r="N8" s="10"/>
      <c r="O8" s="10"/>
      <c r="P8" s="10"/>
      <c r="Q8" s="10"/>
      <c r="R8" s="10"/>
    </row>
    <row r="9" spans="1:19" ht="29" x14ac:dyDescent="0.35">
      <c r="A9" s="13" t="s">
        <v>54</v>
      </c>
      <c r="B9" s="13">
        <v>8</v>
      </c>
      <c r="C9" s="14">
        <v>44162</v>
      </c>
      <c r="D9" s="13" t="s">
        <v>32</v>
      </c>
      <c r="E9" s="13" t="s">
        <v>59</v>
      </c>
      <c r="F9" s="13" t="s">
        <v>66</v>
      </c>
      <c r="G9" s="13" t="s">
        <v>10</v>
      </c>
      <c r="H9" s="17">
        <v>0.1</v>
      </c>
      <c r="I9" s="15">
        <v>27</v>
      </c>
      <c r="J9" s="15">
        <f>Transaction_tbl[[#This Row],[Transacted Units]]*Transaction_tbl[[#This Row],[Transacted Price (per unit)]]</f>
        <v>2.7</v>
      </c>
      <c r="K9" s="15">
        <v>0</v>
      </c>
      <c r="L9" s="15"/>
      <c r="M9" s="20"/>
      <c r="N9" s="10"/>
      <c r="O9" s="10"/>
      <c r="P9" s="10"/>
      <c r="Q9" s="10"/>
      <c r="R9" s="10"/>
    </row>
    <row r="10" spans="1:19" ht="29" x14ac:dyDescent="0.35">
      <c r="A10" s="13" t="s">
        <v>54</v>
      </c>
      <c r="B10" s="13">
        <v>9</v>
      </c>
      <c r="C10" s="14">
        <v>44163</v>
      </c>
      <c r="D10" s="13" t="s">
        <v>9</v>
      </c>
      <c r="E10" s="13" t="s">
        <v>59</v>
      </c>
      <c r="F10" s="13" t="s">
        <v>7</v>
      </c>
      <c r="G10" s="13" t="s">
        <v>8</v>
      </c>
      <c r="H10" s="17">
        <v>0.52</v>
      </c>
      <c r="I10" s="15">
        <v>580</v>
      </c>
      <c r="J10" s="15">
        <f>Transaction_tbl[[#This Row],[Transacted Units]]*Transaction_tbl[[#This Row],[Transacted Price (per unit)]]</f>
        <v>301.60000000000002</v>
      </c>
      <c r="K10" s="15">
        <v>1.5</v>
      </c>
      <c r="L10" s="15"/>
    </row>
    <row r="11" spans="1:19" ht="87" x14ac:dyDescent="0.35">
      <c r="A11" s="13" t="s">
        <v>54</v>
      </c>
      <c r="B11" s="13">
        <v>10</v>
      </c>
      <c r="C11" s="14">
        <v>44164</v>
      </c>
      <c r="D11" s="13" t="s">
        <v>14</v>
      </c>
      <c r="E11" s="13" t="s">
        <v>58</v>
      </c>
      <c r="F11" s="13" t="s">
        <v>13</v>
      </c>
      <c r="G11" s="13" t="s">
        <v>8</v>
      </c>
      <c r="H11" s="17">
        <v>2.0000000000000001E-4</v>
      </c>
      <c r="I11" s="15">
        <v>580</v>
      </c>
      <c r="J11" s="15">
        <f>Transaction_tbl[[#This Row],[Transacted Units]]*Transaction_tbl[[#This Row],[Transacted Price (per unit)]]</f>
        <v>0.12</v>
      </c>
      <c r="K11" s="15">
        <v>0</v>
      </c>
      <c r="L11" s="15" t="s">
        <v>56</v>
      </c>
      <c r="M11" s="16" t="s">
        <v>106</v>
      </c>
      <c r="N11" s="10"/>
      <c r="O11" s="10"/>
      <c r="P11" s="10"/>
      <c r="Q11" s="10"/>
      <c r="R11" s="10"/>
    </row>
    <row r="12" spans="1:19" ht="29" x14ac:dyDescent="0.35">
      <c r="A12" s="13" t="s">
        <v>54</v>
      </c>
      <c r="B12" s="13">
        <v>11</v>
      </c>
      <c r="C12" s="14">
        <v>44165</v>
      </c>
      <c r="D12" s="13" t="s">
        <v>5</v>
      </c>
      <c r="E12" s="13" t="s">
        <v>59</v>
      </c>
      <c r="F12" s="13" t="s">
        <v>13</v>
      </c>
      <c r="G12" s="13" t="s">
        <v>53</v>
      </c>
      <c r="H12" s="17">
        <v>600</v>
      </c>
      <c r="I12" s="15">
        <v>1</v>
      </c>
      <c r="J12" s="15">
        <f>Transaction_tbl[[#This Row],[Transacted Units]]*Transaction_tbl[[#This Row],[Transacted Price (per unit)]]</f>
        <v>600</v>
      </c>
      <c r="K12" s="15">
        <v>0</v>
      </c>
      <c r="L12" s="15"/>
    </row>
    <row r="13" spans="1:19" ht="29" x14ac:dyDescent="0.35">
      <c r="A13" s="13" t="s">
        <v>54</v>
      </c>
      <c r="B13" s="13">
        <v>12</v>
      </c>
      <c r="C13" s="14">
        <v>44166</v>
      </c>
      <c r="D13" s="13" t="s">
        <v>5</v>
      </c>
      <c r="E13" s="13" t="s">
        <v>59</v>
      </c>
      <c r="F13" s="13" t="s">
        <v>55</v>
      </c>
      <c r="G13" s="13" t="s">
        <v>12</v>
      </c>
      <c r="H13" s="17">
        <v>1.4350000000000001</v>
      </c>
      <c r="I13" s="15">
        <v>3500</v>
      </c>
      <c r="J13" s="15">
        <f>Transaction_tbl[[#This Row],[Transacted Units]]*Transaction_tbl[[#This Row],[Transacted Price (per unit)]]</f>
        <v>5022.5</v>
      </c>
      <c r="K13" s="15">
        <v>0</v>
      </c>
      <c r="L13" s="15"/>
    </row>
    <row r="14" spans="1:19" ht="29" x14ac:dyDescent="0.35">
      <c r="A14" s="13" t="s">
        <v>54</v>
      </c>
      <c r="B14" s="13">
        <v>13</v>
      </c>
      <c r="C14" s="14">
        <v>44167</v>
      </c>
      <c r="D14" s="13" t="s">
        <v>5</v>
      </c>
      <c r="E14" s="13" t="s">
        <v>59</v>
      </c>
      <c r="F14" s="13" t="s">
        <v>55</v>
      </c>
      <c r="G14" s="13" t="s">
        <v>8</v>
      </c>
      <c r="H14" s="17">
        <v>0.24</v>
      </c>
      <c r="I14" s="15">
        <v>400</v>
      </c>
      <c r="J14" s="15">
        <f>Transaction_tbl[[#This Row],[Transacted Units]]*Transaction_tbl[[#This Row],[Transacted Price (per unit)]]</f>
        <v>96</v>
      </c>
      <c r="K14" s="15">
        <v>0</v>
      </c>
      <c r="L14" s="15"/>
    </row>
    <row r="15" spans="1:19" ht="29" x14ac:dyDescent="0.35">
      <c r="A15" s="13" t="s">
        <v>54</v>
      </c>
      <c r="B15" s="13">
        <v>14</v>
      </c>
      <c r="C15" s="14">
        <v>44168</v>
      </c>
      <c r="D15" s="13" t="s">
        <v>9</v>
      </c>
      <c r="E15" s="13" t="s">
        <v>59</v>
      </c>
      <c r="F15" s="13" t="s">
        <v>7</v>
      </c>
      <c r="G15" s="13" t="s">
        <v>11</v>
      </c>
      <c r="H15" s="17">
        <v>2.3000000000000001E-4</v>
      </c>
      <c r="I15" s="15">
        <v>45000</v>
      </c>
      <c r="J15" s="15">
        <f>Transaction_tbl[[#This Row],[Transacted Units]]*Transaction_tbl[[#This Row],[Transacted Price (per unit)]]</f>
        <v>10.35</v>
      </c>
      <c r="K15" s="15">
        <v>0</v>
      </c>
      <c r="L15" s="15"/>
    </row>
    <row r="16" spans="1:19" ht="29" x14ac:dyDescent="0.35">
      <c r="A16" s="13" t="s">
        <v>54</v>
      </c>
      <c r="B16" s="13">
        <v>15</v>
      </c>
      <c r="C16" s="14">
        <v>44169</v>
      </c>
      <c r="D16" s="13" t="s">
        <v>9</v>
      </c>
      <c r="E16" s="13" t="s">
        <v>59</v>
      </c>
      <c r="F16" s="13" t="s">
        <v>13</v>
      </c>
      <c r="G16" s="13" t="s">
        <v>53</v>
      </c>
      <c r="H16" s="17">
        <v>500</v>
      </c>
      <c r="I16" s="15">
        <v>1</v>
      </c>
      <c r="J16" s="15">
        <f>Transaction_tbl[[#This Row],[Transacted Units]]*Transaction_tbl[[#This Row],[Transacted Price (per unit)]]</f>
        <v>500</v>
      </c>
      <c r="K16" s="15">
        <v>0</v>
      </c>
      <c r="L16" s="15"/>
    </row>
    <row r="17" spans="1:12" ht="29" x14ac:dyDescent="0.35">
      <c r="A17" s="13" t="s">
        <v>54</v>
      </c>
      <c r="B17" s="13">
        <v>16</v>
      </c>
      <c r="C17" s="14">
        <v>44170</v>
      </c>
      <c r="D17" s="13" t="s">
        <v>5</v>
      </c>
      <c r="E17" s="13" t="s">
        <v>59</v>
      </c>
      <c r="F17" s="13" t="s">
        <v>13</v>
      </c>
      <c r="G17" s="13" t="s">
        <v>12</v>
      </c>
      <c r="H17" s="17">
        <v>0.56000000000000005</v>
      </c>
      <c r="I17" s="15">
        <v>2700</v>
      </c>
      <c r="J17" s="15">
        <f>Transaction_tbl[[#This Row],[Transacted Units]]*Transaction_tbl[[#This Row],[Transacted Price (per unit)]]</f>
        <v>1512</v>
      </c>
      <c r="K17" s="15">
        <v>0</v>
      </c>
      <c r="L17" s="15"/>
    </row>
    <row r="18" spans="1:12" ht="29" x14ac:dyDescent="0.35">
      <c r="A18" s="13" t="s">
        <v>54</v>
      </c>
      <c r="B18" s="13">
        <v>17</v>
      </c>
      <c r="C18" s="14">
        <v>44171</v>
      </c>
      <c r="D18" s="13" t="s">
        <v>9</v>
      </c>
      <c r="E18" s="13" t="s">
        <v>59</v>
      </c>
      <c r="F18" s="13" t="s">
        <v>55</v>
      </c>
      <c r="G18" s="13" t="s">
        <v>12</v>
      </c>
      <c r="H18" s="17">
        <v>0.54</v>
      </c>
      <c r="I18" s="15">
        <v>2600</v>
      </c>
      <c r="J18" s="15">
        <f>Transaction_tbl[[#This Row],[Transacted Units]]*Transaction_tbl[[#This Row],[Transacted Price (per unit)]]</f>
        <v>1404</v>
      </c>
      <c r="K18" s="15">
        <v>0</v>
      </c>
      <c r="L18" s="15"/>
    </row>
    <row r="19" spans="1:12" ht="29" x14ac:dyDescent="0.35">
      <c r="A19" s="13" t="s">
        <v>54</v>
      </c>
      <c r="B19" s="13">
        <v>18</v>
      </c>
      <c r="C19" s="14">
        <v>44172</v>
      </c>
      <c r="D19" s="13" t="s">
        <v>9</v>
      </c>
      <c r="E19" s="13" t="s">
        <v>59</v>
      </c>
      <c r="F19" s="13" t="s">
        <v>55</v>
      </c>
      <c r="G19" s="13" t="s">
        <v>8</v>
      </c>
      <c r="H19" s="17">
        <v>1E-3</v>
      </c>
      <c r="I19" s="15">
        <v>545</v>
      </c>
      <c r="J19" s="15">
        <f>Transaction_tbl[[#This Row],[Transacted Units]]*Transaction_tbl[[#This Row],[Transacted Price (per unit)]]</f>
        <v>0.55000000000000004</v>
      </c>
      <c r="K19" s="15"/>
      <c r="L19" s="15"/>
    </row>
  </sheetData>
  <dataValidations count="1">
    <dataValidation type="list" allowBlank="1" showInputMessage="1" showErrorMessage="1" sqref="D2:D19" xr:uid="{4ACDBC4C-F40E-4D54-A0E3-E459F4E62EBD}">
      <formula1>"Buy, Sell, Fee, Income"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82DD8-F467-4D29-B7DD-DEFACAB6C48D}">
  <sheetPr codeName="Sheet6"/>
  <dimension ref="A1:R139"/>
  <sheetViews>
    <sheetView workbookViewId="0">
      <selection activeCell="E6" sqref="E6"/>
    </sheetView>
  </sheetViews>
  <sheetFormatPr defaultRowHeight="14.5" x14ac:dyDescent="0.35"/>
  <cols>
    <col min="4" max="4" width="13.26953125" customWidth="1"/>
    <col min="5" max="6" width="10.54296875" customWidth="1"/>
    <col min="8" max="8" width="11.453125" customWidth="1"/>
  </cols>
  <sheetData>
    <row r="1" spans="1:12" x14ac:dyDescent="0.35">
      <c r="A1" t="s">
        <v>39</v>
      </c>
    </row>
    <row r="13" spans="1:12" x14ac:dyDescent="0.35">
      <c r="A13" s="10" t="s">
        <v>64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5" spans="1:12" x14ac:dyDescent="0.35">
      <c r="C15" s="24"/>
      <c r="D15" t="s">
        <v>60</v>
      </c>
    </row>
    <row r="17" spans="3:6" x14ac:dyDescent="0.35">
      <c r="E17" t="s">
        <v>61</v>
      </c>
    </row>
    <row r="18" spans="3:6" x14ac:dyDescent="0.35">
      <c r="E18" t="s">
        <v>62</v>
      </c>
    </row>
    <row r="19" spans="3:6" x14ac:dyDescent="0.35">
      <c r="E19" t="s">
        <v>63</v>
      </c>
    </row>
    <row r="22" spans="3:6" x14ac:dyDescent="0.35">
      <c r="C22" s="24"/>
      <c r="D22" t="s">
        <v>68</v>
      </c>
    </row>
    <row r="24" spans="3:6" x14ac:dyDescent="0.35">
      <c r="E24" t="s">
        <v>69</v>
      </c>
    </row>
    <row r="25" spans="3:6" x14ac:dyDescent="0.35">
      <c r="E25" t="s">
        <v>70</v>
      </c>
    </row>
    <row r="26" spans="3:6" x14ac:dyDescent="0.35">
      <c r="F26" t="s">
        <v>71</v>
      </c>
    </row>
    <row r="27" spans="3:6" x14ac:dyDescent="0.35">
      <c r="F27" t="s">
        <v>72</v>
      </c>
    </row>
    <row r="28" spans="3:6" x14ac:dyDescent="0.35">
      <c r="E28" t="s">
        <v>73</v>
      </c>
    </row>
    <row r="29" spans="3:6" x14ac:dyDescent="0.35">
      <c r="E29" t="s">
        <v>74</v>
      </c>
    </row>
    <row r="30" spans="3:6" x14ac:dyDescent="0.35">
      <c r="E30" t="s">
        <v>75</v>
      </c>
    </row>
    <row r="33" spans="2:18" x14ac:dyDescent="0.35">
      <c r="B33" s="23" t="s">
        <v>95</v>
      </c>
      <c r="C33" s="23"/>
    </row>
    <row r="34" spans="2:18" x14ac:dyDescent="0.35">
      <c r="D34" s="26" t="s">
        <v>81</v>
      </c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</row>
    <row r="35" spans="2:18" x14ac:dyDescent="0.35">
      <c r="D35" s="10" t="s">
        <v>43</v>
      </c>
      <c r="E35" s="10"/>
      <c r="F35" s="10"/>
      <c r="G35" s="10"/>
      <c r="H35" s="10"/>
      <c r="I35" s="10" t="s">
        <v>44</v>
      </c>
      <c r="J35" s="10"/>
      <c r="K35" s="10"/>
      <c r="L35" s="10"/>
      <c r="M35" s="10"/>
      <c r="N35" s="10"/>
      <c r="O35" s="10"/>
      <c r="P35" s="10"/>
      <c r="Q35" s="10"/>
      <c r="R35" s="10"/>
    </row>
    <row r="36" spans="2:18" ht="43.5" x14ac:dyDescent="0.35">
      <c r="D36" s="2" t="s">
        <v>52</v>
      </c>
      <c r="E36" s="2" t="s">
        <v>42</v>
      </c>
      <c r="F36" s="2" t="s">
        <v>40</v>
      </c>
      <c r="G36" s="2" t="s">
        <v>16</v>
      </c>
      <c r="H36" s="2" t="s">
        <v>17</v>
      </c>
      <c r="I36" s="11" t="s">
        <v>30</v>
      </c>
      <c r="J36" s="11" t="s">
        <v>18</v>
      </c>
      <c r="K36" s="11" t="s">
        <v>19</v>
      </c>
      <c r="L36" s="11" t="s">
        <v>20</v>
      </c>
      <c r="M36" s="11" t="s">
        <v>26</v>
      </c>
      <c r="N36" s="11" t="s">
        <v>29</v>
      </c>
      <c r="O36" s="11" t="s">
        <v>21</v>
      </c>
      <c r="P36" s="11" t="s">
        <v>27</v>
      </c>
      <c r="Q36" s="11" t="s">
        <v>22</v>
      </c>
      <c r="R36" s="11" t="s">
        <v>28</v>
      </c>
    </row>
    <row r="37" spans="2:18" x14ac:dyDescent="0.35">
      <c r="D37" s="7">
        <v>44157</v>
      </c>
      <c r="E37" s="3" t="s">
        <v>5</v>
      </c>
      <c r="F37" s="5">
        <v>555</v>
      </c>
      <c r="G37" s="8">
        <v>0.43</v>
      </c>
      <c r="H37" s="5">
        <v>238.65</v>
      </c>
      <c r="I37" s="9">
        <v>0.52</v>
      </c>
      <c r="J37" s="5">
        <v>580</v>
      </c>
      <c r="K37" s="5">
        <v>10.75</v>
      </c>
      <c r="L37" s="3">
        <v>1</v>
      </c>
      <c r="M37" s="7">
        <v>44159</v>
      </c>
      <c r="N37" s="3" t="s">
        <v>6</v>
      </c>
      <c r="O37" s="5">
        <v>11.58</v>
      </c>
      <c r="P37" s="4">
        <v>0</v>
      </c>
      <c r="Q37" s="5">
        <v>0</v>
      </c>
      <c r="R37" s="4">
        <v>0</v>
      </c>
    </row>
    <row r="38" spans="2:18" x14ac:dyDescent="0.35">
      <c r="D38" s="7">
        <v>44158</v>
      </c>
      <c r="E38" s="3" t="s">
        <v>5</v>
      </c>
      <c r="F38" s="5">
        <v>570.78</v>
      </c>
      <c r="G38" s="8">
        <v>0.09</v>
      </c>
      <c r="H38" s="5">
        <v>51.37</v>
      </c>
      <c r="I38" s="9">
        <v>0.52</v>
      </c>
      <c r="J38" s="5">
        <v>580</v>
      </c>
      <c r="K38" s="5">
        <v>0.83</v>
      </c>
      <c r="L38" s="3">
        <v>1</v>
      </c>
      <c r="M38" s="7">
        <v>44159</v>
      </c>
      <c r="N38" s="3" t="s">
        <v>6</v>
      </c>
      <c r="O38" s="5">
        <v>11.58</v>
      </c>
      <c r="P38" s="4">
        <v>0</v>
      </c>
      <c r="Q38" s="5">
        <v>0</v>
      </c>
      <c r="R38" s="4">
        <v>0</v>
      </c>
    </row>
    <row r="39" spans="2:18" x14ac:dyDescent="0.35">
      <c r="D39" s="7">
        <v>44158</v>
      </c>
      <c r="E39" s="3" t="s">
        <v>5</v>
      </c>
      <c r="F39" s="5">
        <v>570.78</v>
      </c>
      <c r="G39" s="8">
        <v>2.0000000000000001E-4</v>
      </c>
      <c r="H39" s="5">
        <v>0.11</v>
      </c>
      <c r="I39" s="9">
        <v>2.0000000000000001E-4</v>
      </c>
      <c r="J39" s="5">
        <v>580</v>
      </c>
      <c r="K39" s="5">
        <v>0</v>
      </c>
      <c r="L39" s="3">
        <v>2</v>
      </c>
      <c r="M39" s="7">
        <v>44160</v>
      </c>
      <c r="N39" s="3" t="s">
        <v>6</v>
      </c>
      <c r="O39" s="5">
        <v>0</v>
      </c>
      <c r="P39" s="4">
        <v>0</v>
      </c>
      <c r="Q39" s="5">
        <v>0</v>
      </c>
      <c r="R39" s="4">
        <v>0</v>
      </c>
    </row>
    <row r="40" spans="2:18" x14ac:dyDescent="0.35">
      <c r="D40" s="7">
        <v>44158</v>
      </c>
      <c r="E40" s="3" t="s">
        <v>5</v>
      </c>
      <c r="F40" s="5">
        <v>570.78</v>
      </c>
      <c r="G40" s="8">
        <v>1E-3</v>
      </c>
      <c r="H40" s="5">
        <v>0.56999999999999995</v>
      </c>
      <c r="I40" s="9">
        <v>1E-3</v>
      </c>
      <c r="J40" s="5">
        <v>545</v>
      </c>
      <c r="K40" s="5">
        <v>-0.03</v>
      </c>
      <c r="L40" s="3">
        <v>3</v>
      </c>
      <c r="M40" s="7">
        <v>44168</v>
      </c>
      <c r="N40" s="3" t="s">
        <v>6</v>
      </c>
      <c r="O40" s="5">
        <v>0</v>
      </c>
      <c r="P40" s="4">
        <v>0</v>
      </c>
      <c r="Q40" s="5">
        <v>-0.03</v>
      </c>
      <c r="R40" s="4">
        <v>0</v>
      </c>
    </row>
    <row r="41" spans="2:18" x14ac:dyDescent="0.35">
      <c r="D41" s="7">
        <v>44158</v>
      </c>
      <c r="E41" s="3" t="s">
        <v>5</v>
      </c>
      <c r="F41" s="5">
        <v>570.78</v>
      </c>
      <c r="G41" s="8">
        <v>0.42880000000000001</v>
      </c>
      <c r="H41" s="5">
        <v>244.75</v>
      </c>
      <c r="I41" s="9"/>
      <c r="J41" s="5"/>
      <c r="K41" s="5"/>
      <c r="L41" s="3"/>
      <c r="M41" s="7"/>
      <c r="N41" s="3"/>
      <c r="O41" s="5"/>
      <c r="P41" s="3"/>
      <c r="Q41" s="5"/>
      <c r="R41" s="3"/>
    </row>
    <row r="42" spans="2:18" x14ac:dyDescent="0.35">
      <c r="D42" s="7">
        <v>44163</v>
      </c>
      <c r="E42" s="3" t="s">
        <v>5</v>
      </c>
      <c r="F42" s="5">
        <v>400</v>
      </c>
      <c r="G42" s="8">
        <v>0.24</v>
      </c>
      <c r="H42" s="5">
        <v>96</v>
      </c>
      <c r="I42" s="9"/>
      <c r="J42" s="5"/>
      <c r="K42" s="5"/>
      <c r="L42" s="3"/>
      <c r="M42" s="7"/>
      <c r="N42" s="3"/>
      <c r="O42" s="5"/>
      <c r="P42" s="3"/>
      <c r="Q42" s="5"/>
      <c r="R42" s="3"/>
    </row>
    <row r="43" spans="2:18" x14ac:dyDescent="0.35">
      <c r="D43" s="19"/>
      <c r="E43" s="3"/>
      <c r="F43" s="5"/>
      <c r="G43" s="3"/>
      <c r="H43" s="3"/>
    </row>
    <row r="44" spans="2:18" x14ac:dyDescent="0.35">
      <c r="G44" t="s">
        <v>76</v>
      </c>
    </row>
    <row r="45" spans="2:18" x14ac:dyDescent="0.35">
      <c r="G45" t="s">
        <v>77</v>
      </c>
    </row>
    <row r="46" spans="2:18" x14ac:dyDescent="0.35">
      <c r="D46" s="9"/>
      <c r="E46" s="5"/>
      <c r="F46" s="5"/>
      <c r="G46" s="3"/>
      <c r="H46" s="7"/>
      <c r="I46" s="3"/>
      <c r="J46" s="5"/>
      <c r="K46" s="3"/>
      <c r="L46" s="5"/>
      <c r="M46" s="3"/>
    </row>
    <row r="47" spans="2:18" x14ac:dyDescent="0.35">
      <c r="D47" s="21" t="s">
        <v>79</v>
      </c>
      <c r="E47" s="3"/>
      <c r="F47" s="3"/>
      <c r="G47" s="3"/>
      <c r="H47" s="3"/>
      <c r="I47" s="3"/>
      <c r="J47" s="3"/>
      <c r="K47" s="3"/>
      <c r="L47" s="3"/>
      <c r="M47" s="3"/>
    </row>
    <row r="48" spans="2:18" x14ac:dyDescent="0.35">
      <c r="D48" t="s">
        <v>80</v>
      </c>
    </row>
    <row r="49" spans="3:18" ht="83.5" customHeight="1" x14ac:dyDescent="0.35">
      <c r="D49" t="s">
        <v>78</v>
      </c>
      <c r="E49" s="27" t="s">
        <v>82</v>
      </c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10"/>
    </row>
    <row r="50" spans="3:18" x14ac:dyDescent="0.35"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</row>
    <row r="51" spans="3:18" x14ac:dyDescent="0.35">
      <c r="D51" t="s">
        <v>83</v>
      </c>
    </row>
    <row r="53" spans="3:18" x14ac:dyDescent="0.35">
      <c r="D53" s="10" t="s">
        <v>43</v>
      </c>
      <c r="E53" s="10"/>
      <c r="F53" s="10"/>
      <c r="G53" s="10"/>
      <c r="H53" s="10"/>
      <c r="I53" s="10" t="s">
        <v>44</v>
      </c>
      <c r="J53" s="10"/>
      <c r="K53" s="10"/>
      <c r="L53" s="10"/>
      <c r="M53" s="10"/>
      <c r="N53" s="10"/>
      <c r="O53" s="10"/>
      <c r="P53" s="10"/>
      <c r="Q53" s="10"/>
      <c r="R53" s="10"/>
    </row>
    <row r="54" spans="3:18" ht="43.5" x14ac:dyDescent="0.35">
      <c r="C54" t="s">
        <v>84</v>
      </c>
      <c r="D54" s="2" t="s">
        <v>52</v>
      </c>
      <c r="E54" s="2" t="s">
        <v>42</v>
      </c>
      <c r="F54" s="2" t="s">
        <v>40</v>
      </c>
      <c r="G54" s="2" t="s">
        <v>16</v>
      </c>
      <c r="H54" s="2" t="s">
        <v>17</v>
      </c>
      <c r="I54" s="11" t="s">
        <v>30</v>
      </c>
      <c r="J54" s="11" t="s">
        <v>18</v>
      </c>
      <c r="K54" s="11" t="s">
        <v>19</v>
      </c>
      <c r="L54" s="11" t="s">
        <v>20</v>
      </c>
      <c r="M54" s="11" t="s">
        <v>26</v>
      </c>
      <c r="N54" s="11" t="s">
        <v>29</v>
      </c>
      <c r="O54" s="11" t="s">
        <v>21</v>
      </c>
      <c r="P54" s="11" t="s">
        <v>27</v>
      </c>
      <c r="Q54" s="11" t="s">
        <v>22</v>
      </c>
      <c r="R54" s="11" t="s">
        <v>28</v>
      </c>
    </row>
    <row r="55" spans="3:18" x14ac:dyDescent="0.35">
      <c r="D55" s="18">
        <v>44157</v>
      </c>
      <c r="E55" t="s">
        <v>5</v>
      </c>
      <c r="F55" s="6">
        <v>555</v>
      </c>
      <c r="G55">
        <v>0.43</v>
      </c>
      <c r="H55">
        <v>238.65</v>
      </c>
    </row>
    <row r="56" spans="3:18" x14ac:dyDescent="0.35">
      <c r="D56" s="18">
        <v>44158</v>
      </c>
      <c r="E56" t="s">
        <v>5</v>
      </c>
      <c r="F56" s="6">
        <v>570.78</v>
      </c>
      <c r="G56">
        <v>0.52</v>
      </c>
      <c r="H56">
        <v>296.39999999999998</v>
      </c>
    </row>
    <row r="57" spans="3:18" x14ac:dyDescent="0.35">
      <c r="D57" s="18">
        <v>44167</v>
      </c>
      <c r="E57" t="s">
        <v>5</v>
      </c>
      <c r="F57" s="6">
        <v>400</v>
      </c>
      <c r="G57">
        <v>0.24</v>
      </c>
      <c r="H57">
        <v>96</v>
      </c>
    </row>
    <row r="60" spans="3:18" x14ac:dyDescent="0.35">
      <c r="D60" s="10" t="s">
        <v>43</v>
      </c>
      <c r="E60" s="10"/>
      <c r="F60" s="10"/>
      <c r="G60" s="10"/>
      <c r="H60" s="10"/>
      <c r="I60" s="10" t="s">
        <v>44</v>
      </c>
      <c r="J60" s="10"/>
      <c r="K60" s="10"/>
      <c r="L60" s="10"/>
      <c r="M60" s="10"/>
      <c r="N60" s="10"/>
      <c r="O60" s="10"/>
      <c r="P60" s="10"/>
      <c r="Q60" s="10"/>
      <c r="R60" s="10"/>
    </row>
    <row r="61" spans="3:18" ht="43.5" x14ac:dyDescent="0.35">
      <c r="C61" t="s">
        <v>85</v>
      </c>
      <c r="D61" s="2" t="s">
        <v>52</v>
      </c>
      <c r="E61" s="2" t="s">
        <v>42</v>
      </c>
      <c r="F61" s="2" t="s">
        <v>40</v>
      </c>
      <c r="G61" s="2" t="s">
        <v>16</v>
      </c>
      <c r="H61" s="2" t="s">
        <v>17</v>
      </c>
      <c r="I61" s="11" t="s">
        <v>30</v>
      </c>
      <c r="J61" s="11" t="s">
        <v>18</v>
      </c>
      <c r="K61" s="11" t="s">
        <v>19</v>
      </c>
      <c r="L61" s="11" t="s">
        <v>20</v>
      </c>
      <c r="M61" s="11" t="s">
        <v>26</v>
      </c>
      <c r="N61" s="11" t="s">
        <v>29</v>
      </c>
      <c r="O61" s="11" t="s">
        <v>21</v>
      </c>
      <c r="P61" s="11" t="s">
        <v>27</v>
      </c>
      <c r="Q61" s="11" t="s">
        <v>22</v>
      </c>
      <c r="R61" s="11" t="s">
        <v>28</v>
      </c>
    </row>
    <row r="62" spans="3:18" x14ac:dyDescent="0.35">
      <c r="D62" s="18">
        <v>44157</v>
      </c>
      <c r="E62" t="s">
        <v>5</v>
      </c>
      <c r="F62" s="6">
        <v>555</v>
      </c>
      <c r="G62">
        <v>0.43</v>
      </c>
      <c r="H62">
        <v>238.65</v>
      </c>
      <c r="I62">
        <v>0.52</v>
      </c>
      <c r="J62">
        <v>580</v>
      </c>
      <c r="K62">
        <v>10.75</v>
      </c>
      <c r="L62">
        <v>1</v>
      </c>
      <c r="M62" s="18">
        <v>44163</v>
      </c>
      <c r="N62" t="s">
        <v>6</v>
      </c>
      <c r="O62">
        <v>11.58</v>
      </c>
      <c r="P62" s="22">
        <v>0</v>
      </c>
      <c r="Q62">
        <v>0</v>
      </c>
      <c r="R62" s="22">
        <v>0</v>
      </c>
    </row>
    <row r="63" spans="3:18" x14ac:dyDescent="0.35">
      <c r="D63" s="18">
        <v>44158</v>
      </c>
      <c r="E63" t="s">
        <v>5</v>
      </c>
      <c r="F63" s="6">
        <v>570.78</v>
      </c>
      <c r="G63">
        <v>0.09</v>
      </c>
      <c r="H63">
        <v>51.370199999999997</v>
      </c>
      <c r="I63">
        <v>0.52</v>
      </c>
      <c r="J63">
        <v>580</v>
      </c>
      <c r="K63">
        <v>0.82980000000000598</v>
      </c>
      <c r="L63">
        <v>1</v>
      </c>
      <c r="M63" s="18">
        <v>44163</v>
      </c>
      <c r="N63" t="s">
        <v>6</v>
      </c>
    </row>
    <row r="64" spans="3:18" x14ac:dyDescent="0.35">
      <c r="D64" s="18">
        <v>44158</v>
      </c>
      <c r="E64" t="s">
        <v>5</v>
      </c>
      <c r="F64" s="6">
        <v>570.78</v>
      </c>
      <c r="G64">
        <v>0.43</v>
      </c>
      <c r="H64">
        <v>245.43539999999999</v>
      </c>
    </row>
    <row r="65" spans="3:18" x14ac:dyDescent="0.35">
      <c r="D65" s="18">
        <v>44167</v>
      </c>
      <c r="E65" t="s">
        <v>5</v>
      </c>
      <c r="F65" s="6">
        <v>400</v>
      </c>
      <c r="G65">
        <v>0.24</v>
      </c>
      <c r="H65">
        <v>96</v>
      </c>
    </row>
    <row r="67" spans="3:18" x14ac:dyDescent="0.35">
      <c r="G67" t="s">
        <v>76</v>
      </c>
    </row>
    <row r="68" spans="3:18" x14ac:dyDescent="0.35">
      <c r="G68" t="s">
        <v>87</v>
      </c>
    </row>
    <row r="69" spans="3:18" x14ac:dyDescent="0.35">
      <c r="G69" t="s">
        <v>88</v>
      </c>
    </row>
    <row r="70" spans="3:18" x14ac:dyDescent="0.35">
      <c r="G70" t="s">
        <v>89</v>
      </c>
    </row>
    <row r="72" spans="3:18" x14ac:dyDescent="0.35">
      <c r="D72" s="10" t="s">
        <v>43</v>
      </c>
      <c r="E72" s="10"/>
      <c r="F72" s="10"/>
      <c r="G72" s="10"/>
      <c r="H72" s="10"/>
      <c r="I72" s="10" t="s">
        <v>44</v>
      </c>
      <c r="J72" s="10"/>
      <c r="K72" s="10"/>
      <c r="L72" s="10"/>
      <c r="M72" s="10"/>
      <c r="N72" s="10"/>
      <c r="O72" s="10"/>
      <c r="P72" s="10"/>
      <c r="Q72" s="10"/>
      <c r="R72" s="10"/>
    </row>
    <row r="73" spans="3:18" ht="43.5" x14ac:dyDescent="0.35">
      <c r="C73" t="s">
        <v>91</v>
      </c>
      <c r="D73" s="2" t="s">
        <v>52</v>
      </c>
      <c r="E73" s="2" t="s">
        <v>42</v>
      </c>
      <c r="F73" s="2" t="s">
        <v>40</v>
      </c>
      <c r="G73" s="2" t="s">
        <v>16</v>
      </c>
      <c r="H73" s="2" t="s">
        <v>17</v>
      </c>
      <c r="I73" s="11" t="s">
        <v>30</v>
      </c>
      <c r="J73" s="11" t="s">
        <v>18</v>
      </c>
      <c r="K73" s="11" t="s">
        <v>19</v>
      </c>
      <c r="L73" s="11" t="s">
        <v>20</v>
      </c>
      <c r="M73" s="11" t="s">
        <v>26</v>
      </c>
      <c r="N73" s="11" t="s">
        <v>29</v>
      </c>
      <c r="O73" s="11" t="s">
        <v>21</v>
      </c>
      <c r="P73" s="11" t="s">
        <v>27</v>
      </c>
      <c r="Q73" s="11" t="s">
        <v>22</v>
      </c>
      <c r="R73" s="11" t="s">
        <v>28</v>
      </c>
    </row>
    <row r="74" spans="3:18" x14ac:dyDescent="0.35">
      <c r="D74" s="7">
        <v>44157</v>
      </c>
      <c r="E74" s="3" t="s">
        <v>5</v>
      </c>
      <c r="F74" s="5">
        <v>555</v>
      </c>
      <c r="G74" s="8">
        <v>0.43</v>
      </c>
      <c r="H74" s="5">
        <v>238.65</v>
      </c>
      <c r="I74" s="9">
        <v>0.52</v>
      </c>
      <c r="J74" s="5">
        <v>580</v>
      </c>
      <c r="K74" s="5">
        <v>10.75</v>
      </c>
      <c r="L74" s="3">
        <v>1</v>
      </c>
      <c r="M74" s="7">
        <v>44163</v>
      </c>
      <c r="N74" s="3" t="s">
        <v>6</v>
      </c>
      <c r="O74" s="5">
        <v>11.58</v>
      </c>
      <c r="P74" s="4">
        <v>0</v>
      </c>
      <c r="Q74" s="5">
        <v>0</v>
      </c>
      <c r="R74" s="4">
        <v>0</v>
      </c>
    </row>
    <row r="75" spans="3:18" x14ac:dyDescent="0.35">
      <c r="D75" s="7">
        <v>44158</v>
      </c>
      <c r="E75" s="3" t="s">
        <v>5</v>
      </c>
      <c r="F75" s="5">
        <v>570.78</v>
      </c>
      <c r="G75" s="8">
        <v>0.09</v>
      </c>
      <c r="H75" s="5">
        <v>51.37</v>
      </c>
      <c r="I75" s="9">
        <v>0.52</v>
      </c>
      <c r="J75" s="5">
        <v>580</v>
      </c>
      <c r="K75" s="5">
        <v>0.83</v>
      </c>
      <c r="L75" s="3">
        <v>1</v>
      </c>
      <c r="M75" s="7">
        <v>44163</v>
      </c>
      <c r="N75" s="3" t="s">
        <v>6</v>
      </c>
      <c r="O75" s="5">
        <v>11.58</v>
      </c>
      <c r="P75" s="4">
        <v>0</v>
      </c>
      <c r="Q75" s="5">
        <v>0</v>
      </c>
      <c r="R75" s="4">
        <v>0</v>
      </c>
    </row>
    <row r="76" spans="3:18" x14ac:dyDescent="0.35">
      <c r="D76" s="7">
        <v>44158</v>
      </c>
      <c r="E76" s="3" t="s">
        <v>5</v>
      </c>
      <c r="F76" s="5">
        <v>570.78</v>
      </c>
      <c r="G76" s="8">
        <v>2.0000000000000001E-4</v>
      </c>
      <c r="H76" s="5">
        <v>0.11</v>
      </c>
      <c r="I76" s="9">
        <v>2.0000000000000001E-4</v>
      </c>
      <c r="J76" s="5">
        <v>580</v>
      </c>
      <c r="K76" s="5">
        <v>0</v>
      </c>
      <c r="L76" s="3">
        <v>2</v>
      </c>
      <c r="M76" s="7">
        <v>44164</v>
      </c>
      <c r="N76" s="3" t="s">
        <v>6</v>
      </c>
      <c r="O76" s="5"/>
      <c r="P76" s="4"/>
      <c r="Q76" s="5"/>
      <c r="R76" s="4"/>
    </row>
    <row r="77" spans="3:18" x14ac:dyDescent="0.35">
      <c r="D77" s="7">
        <v>44158</v>
      </c>
      <c r="E77" s="3" t="s">
        <v>5</v>
      </c>
      <c r="F77" s="5">
        <v>570.78</v>
      </c>
      <c r="G77" s="8">
        <v>0.42980000000000002</v>
      </c>
      <c r="H77" s="5">
        <v>245.32</v>
      </c>
      <c r="I77" s="9"/>
      <c r="J77" s="5"/>
      <c r="K77" s="5"/>
      <c r="L77" s="3"/>
      <c r="M77" s="7"/>
      <c r="N77" s="3"/>
      <c r="O77" s="5"/>
      <c r="P77" s="3"/>
      <c r="Q77" s="5"/>
      <c r="R77" s="3"/>
    </row>
    <row r="78" spans="3:18" x14ac:dyDescent="0.35">
      <c r="D78" s="7">
        <v>44167</v>
      </c>
      <c r="E78" s="3" t="s">
        <v>5</v>
      </c>
      <c r="F78" s="5">
        <v>400</v>
      </c>
      <c r="G78" s="8">
        <v>0.24</v>
      </c>
      <c r="H78" s="5">
        <v>96</v>
      </c>
      <c r="I78" s="9"/>
      <c r="J78" s="5"/>
      <c r="K78" s="5"/>
      <c r="L78" s="3"/>
      <c r="M78" s="7"/>
      <c r="N78" s="3"/>
      <c r="O78" s="5"/>
      <c r="P78" s="3"/>
      <c r="Q78" s="5"/>
      <c r="R78" s="3"/>
    </row>
    <row r="80" spans="3:18" x14ac:dyDescent="0.35">
      <c r="G80" t="s">
        <v>86</v>
      </c>
    </row>
    <row r="81" spans="2:18" x14ac:dyDescent="0.35">
      <c r="G81" t="s">
        <v>90</v>
      </c>
    </row>
    <row r="83" spans="2:18" x14ac:dyDescent="0.35">
      <c r="D83" s="10" t="s">
        <v>43</v>
      </c>
      <c r="E83" s="10"/>
      <c r="F83" s="10"/>
      <c r="G83" s="10"/>
      <c r="H83" s="10"/>
      <c r="I83" s="10" t="s">
        <v>44</v>
      </c>
      <c r="J83" s="10"/>
      <c r="K83" s="10"/>
      <c r="L83" s="10"/>
      <c r="M83" s="10"/>
      <c r="N83" s="10"/>
      <c r="O83" s="10"/>
      <c r="P83" s="10"/>
      <c r="Q83" s="10"/>
      <c r="R83" s="10"/>
    </row>
    <row r="84" spans="2:18" ht="43.5" x14ac:dyDescent="0.35">
      <c r="C84" t="s">
        <v>92</v>
      </c>
      <c r="D84" s="2" t="s">
        <v>52</v>
      </c>
      <c r="E84" s="2" t="s">
        <v>42</v>
      </c>
      <c r="F84" s="2" t="s">
        <v>40</v>
      </c>
      <c r="G84" s="2" t="s">
        <v>16</v>
      </c>
      <c r="H84" s="2" t="s">
        <v>17</v>
      </c>
      <c r="I84" s="11" t="s">
        <v>30</v>
      </c>
      <c r="J84" s="11" t="s">
        <v>18</v>
      </c>
      <c r="K84" s="11" t="s">
        <v>19</v>
      </c>
      <c r="L84" s="11" t="s">
        <v>20</v>
      </c>
      <c r="M84" s="11" t="s">
        <v>26</v>
      </c>
      <c r="N84" s="11" t="s">
        <v>29</v>
      </c>
      <c r="O84" s="11" t="s">
        <v>21</v>
      </c>
      <c r="P84" s="11" t="s">
        <v>27</v>
      </c>
      <c r="Q84" s="11" t="s">
        <v>22</v>
      </c>
      <c r="R84" s="11" t="s">
        <v>28</v>
      </c>
    </row>
    <row r="85" spans="2:18" x14ac:dyDescent="0.35">
      <c r="D85" s="7">
        <v>44157</v>
      </c>
      <c r="E85" s="3" t="s">
        <v>5</v>
      </c>
      <c r="F85" s="5">
        <v>555</v>
      </c>
      <c r="G85" s="8">
        <v>0.43</v>
      </c>
      <c r="H85" s="5">
        <v>238.65</v>
      </c>
      <c r="I85" s="9">
        <v>0.52</v>
      </c>
      <c r="J85" s="5">
        <v>580</v>
      </c>
      <c r="K85" s="5">
        <v>10.75</v>
      </c>
      <c r="L85" s="3">
        <v>1</v>
      </c>
      <c r="M85" s="7">
        <v>44163</v>
      </c>
      <c r="N85" s="3" t="s">
        <v>6</v>
      </c>
      <c r="O85" s="5">
        <v>11.58</v>
      </c>
      <c r="P85" s="4">
        <v>0</v>
      </c>
      <c r="Q85" s="5">
        <v>0</v>
      </c>
      <c r="R85" s="4">
        <v>0</v>
      </c>
    </row>
    <row r="86" spans="2:18" x14ac:dyDescent="0.35">
      <c r="D86" s="7">
        <v>44158</v>
      </c>
      <c r="E86" s="3" t="s">
        <v>5</v>
      </c>
      <c r="F86" s="5">
        <v>570.78</v>
      </c>
      <c r="G86" s="8">
        <v>0.09</v>
      </c>
      <c r="H86" s="5">
        <v>51.37</v>
      </c>
      <c r="I86" s="9">
        <v>0.52</v>
      </c>
      <c r="J86" s="5">
        <v>580</v>
      </c>
      <c r="K86" s="5">
        <v>0.83</v>
      </c>
      <c r="L86" s="3">
        <v>1</v>
      </c>
      <c r="M86" s="7">
        <v>44163</v>
      </c>
      <c r="N86" s="3" t="s">
        <v>6</v>
      </c>
      <c r="O86" s="5">
        <v>11.58</v>
      </c>
      <c r="P86" s="4">
        <v>0</v>
      </c>
      <c r="Q86" s="5">
        <v>0</v>
      </c>
      <c r="R86" s="4">
        <v>0</v>
      </c>
    </row>
    <row r="87" spans="2:18" x14ac:dyDescent="0.35">
      <c r="D87" s="7">
        <v>44158</v>
      </c>
      <c r="E87" s="3" t="s">
        <v>5</v>
      </c>
      <c r="F87" s="5">
        <v>570.78</v>
      </c>
      <c r="G87" s="8">
        <v>2.0000000000000001E-4</v>
      </c>
      <c r="H87" s="5">
        <v>0.11</v>
      </c>
      <c r="I87" s="9">
        <v>2.0000000000000001E-4</v>
      </c>
      <c r="J87" s="5">
        <v>580</v>
      </c>
      <c r="K87" s="5">
        <v>0</v>
      </c>
      <c r="L87" s="3">
        <v>2</v>
      </c>
      <c r="M87" s="7">
        <v>44164</v>
      </c>
      <c r="N87" s="3" t="s">
        <v>6</v>
      </c>
      <c r="O87" s="5">
        <v>0</v>
      </c>
      <c r="P87" s="4">
        <v>0</v>
      </c>
      <c r="Q87" s="5">
        <v>0</v>
      </c>
      <c r="R87" s="4">
        <v>0</v>
      </c>
    </row>
    <row r="88" spans="2:18" x14ac:dyDescent="0.35">
      <c r="D88" s="7">
        <v>44158</v>
      </c>
      <c r="E88" s="3" t="s">
        <v>5</v>
      </c>
      <c r="F88" s="5">
        <v>570.78</v>
      </c>
      <c r="G88" s="8">
        <v>1E-3</v>
      </c>
      <c r="H88" s="5">
        <v>0.56999999999999995</v>
      </c>
      <c r="I88" s="9">
        <v>1E-3</v>
      </c>
      <c r="J88" s="5">
        <v>545</v>
      </c>
      <c r="K88" s="5">
        <v>-0.03</v>
      </c>
      <c r="L88" s="3">
        <v>3</v>
      </c>
      <c r="M88" s="7">
        <v>44172</v>
      </c>
      <c r="N88" s="3" t="s">
        <v>6</v>
      </c>
      <c r="O88" s="5">
        <v>0</v>
      </c>
      <c r="P88" s="4">
        <v>0</v>
      </c>
      <c r="Q88" s="5">
        <v>-0.03</v>
      </c>
      <c r="R88" s="4">
        <v>0</v>
      </c>
    </row>
    <row r="89" spans="2:18" x14ac:dyDescent="0.35">
      <c r="D89" s="7">
        <v>44158</v>
      </c>
      <c r="E89" s="3" t="s">
        <v>5</v>
      </c>
      <c r="F89" s="5">
        <v>570.78</v>
      </c>
      <c r="G89" s="8">
        <v>0.42880000000000001</v>
      </c>
      <c r="H89" s="5">
        <v>244.75</v>
      </c>
      <c r="I89" s="9"/>
      <c r="J89" s="5"/>
      <c r="K89" s="5"/>
      <c r="L89" s="3"/>
      <c r="M89" s="7"/>
      <c r="N89" s="3"/>
      <c r="O89" s="5"/>
      <c r="P89" s="3"/>
      <c r="Q89" s="5"/>
      <c r="R89" s="3"/>
    </row>
    <row r="90" spans="2:18" x14ac:dyDescent="0.35">
      <c r="D90" s="7">
        <v>44167</v>
      </c>
      <c r="E90" s="3" t="s">
        <v>5</v>
      </c>
      <c r="F90" s="5">
        <v>400</v>
      </c>
      <c r="G90" s="8">
        <v>0.24</v>
      </c>
      <c r="H90" s="5">
        <v>96</v>
      </c>
      <c r="I90" s="9"/>
      <c r="J90" s="5"/>
      <c r="K90" s="5"/>
      <c r="L90" s="3"/>
      <c r="M90" s="7"/>
      <c r="N90" s="3"/>
      <c r="O90" s="5"/>
      <c r="P90" s="3"/>
      <c r="Q90" s="5"/>
      <c r="R90" s="3"/>
    </row>
    <row r="92" spans="2:18" x14ac:dyDescent="0.35">
      <c r="G92" t="s">
        <v>76</v>
      </c>
    </row>
    <row r="93" spans="2:18" x14ac:dyDescent="0.35">
      <c r="G93" t="s">
        <v>93</v>
      </c>
    </row>
    <row r="95" spans="2:18" x14ac:dyDescent="0.35">
      <c r="B95" s="23" t="s">
        <v>94</v>
      </c>
    </row>
    <row r="97" spans="2:11" x14ac:dyDescent="0.35">
      <c r="D97" t="s">
        <v>99</v>
      </c>
    </row>
    <row r="99" spans="2:11" x14ac:dyDescent="0.35">
      <c r="D99" s="10" t="s">
        <v>65</v>
      </c>
      <c r="E99" s="10"/>
      <c r="F99" s="10"/>
      <c r="G99" s="10"/>
      <c r="H99" s="10"/>
      <c r="I99" s="10"/>
      <c r="J99" s="10"/>
      <c r="K99" s="10"/>
    </row>
    <row r="100" spans="2:11" ht="43.5" x14ac:dyDescent="0.35">
      <c r="D100" s="2" t="s">
        <v>25</v>
      </c>
      <c r="E100" s="2" t="s">
        <v>26</v>
      </c>
      <c r="F100" s="2" t="s">
        <v>30</v>
      </c>
      <c r="G100" s="2" t="s">
        <v>35</v>
      </c>
      <c r="H100" s="2" t="s">
        <v>23</v>
      </c>
      <c r="I100" s="2" t="s">
        <v>27</v>
      </c>
      <c r="J100" s="2" t="s">
        <v>24</v>
      </c>
      <c r="K100" s="2" t="s">
        <v>28</v>
      </c>
    </row>
    <row r="101" spans="2:11" x14ac:dyDescent="0.35">
      <c r="D101" s="3">
        <v>1</v>
      </c>
      <c r="E101" s="7">
        <v>44163</v>
      </c>
      <c r="F101" s="3">
        <v>0.52</v>
      </c>
      <c r="G101" s="5">
        <v>580</v>
      </c>
      <c r="H101" s="5">
        <v>11.58</v>
      </c>
      <c r="I101" s="3">
        <v>0</v>
      </c>
      <c r="J101" s="5">
        <v>0</v>
      </c>
      <c r="K101" s="3">
        <v>0</v>
      </c>
    </row>
    <row r="102" spans="2:11" x14ac:dyDescent="0.35">
      <c r="D102" s="3">
        <v>2</v>
      </c>
      <c r="E102" s="19">
        <v>44164</v>
      </c>
      <c r="F102" s="3">
        <v>2.0000000000000001E-4</v>
      </c>
      <c r="G102" s="5">
        <v>580</v>
      </c>
      <c r="H102" s="5">
        <v>0</v>
      </c>
      <c r="I102" s="3">
        <v>0</v>
      </c>
      <c r="J102" s="5">
        <v>0</v>
      </c>
      <c r="K102" s="3">
        <v>0</v>
      </c>
    </row>
    <row r="103" spans="2:11" x14ac:dyDescent="0.35">
      <c r="D103" s="3">
        <v>3</v>
      </c>
      <c r="E103" s="19">
        <v>44172</v>
      </c>
      <c r="F103" s="3">
        <v>1E-3</v>
      </c>
      <c r="G103" s="5">
        <v>545</v>
      </c>
      <c r="H103" s="5">
        <v>0</v>
      </c>
      <c r="I103" s="3">
        <v>0</v>
      </c>
      <c r="J103" s="5">
        <v>-0.03</v>
      </c>
      <c r="K103" s="3">
        <v>0</v>
      </c>
    </row>
    <row r="107" spans="2:11" x14ac:dyDescent="0.35">
      <c r="B107" s="23" t="s">
        <v>96</v>
      </c>
    </row>
    <row r="109" spans="2:11" x14ac:dyDescent="0.35">
      <c r="D109" t="s">
        <v>100</v>
      </c>
    </row>
    <row r="111" spans="2:11" x14ac:dyDescent="0.35">
      <c r="D111" s="10" t="s">
        <v>97</v>
      </c>
      <c r="E111" s="10"/>
      <c r="F111" s="10"/>
    </row>
    <row r="112" spans="2:11" ht="29" x14ac:dyDescent="0.35">
      <c r="D112" s="2" t="s">
        <v>31</v>
      </c>
      <c r="E112" s="2" t="s">
        <v>34</v>
      </c>
      <c r="F112" s="2" t="s">
        <v>33</v>
      </c>
    </row>
    <row r="113" spans="2:9" x14ac:dyDescent="0.35">
      <c r="D113" s="3">
        <v>2020</v>
      </c>
      <c r="E113" s="3">
        <v>0</v>
      </c>
      <c r="F113" s="5">
        <v>0</v>
      </c>
    </row>
    <row r="114" spans="2:9" x14ac:dyDescent="0.35">
      <c r="D114" s="3">
        <v>2021</v>
      </c>
      <c r="E114" s="3">
        <v>0</v>
      </c>
      <c r="F114" s="5">
        <v>0</v>
      </c>
    </row>
    <row r="115" spans="2:9" x14ac:dyDescent="0.35">
      <c r="D115" s="3">
        <v>2022</v>
      </c>
      <c r="E115" s="3">
        <v>0</v>
      </c>
      <c r="F115" s="5">
        <v>0</v>
      </c>
    </row>
    <row r="118" spans="2:9" x14ac:dyDescent="0.35">
      <c r="B118" s="23" t="s">
        <v>101</v>
      </c>
    </row>
    <row r="120" spans="2:9" x14ac:dyDescent="0.35">
      <c r="D120" t="s">
        <v>102</v>
      </c>
    </row>
    <row r="122" spans="2:9" x14ac:dyDescent="0.35">
      <c r="D122" s="10" t="s">
        <v>98</v>
      </c>
      <c r="E122" s="10"/>
      <c r="F122" s="10"/>
      <c r="G122" s="10"/>
      <c r="H122" s="10"/>
      <c r="I122" s="10"/>
    </row>
    <row r="123" spans="2:9" ht="29" x14ac:dyDescent="0.35">
      <c r="D123" s="2" t="s">
        <v>31</v>
      </c>
      <c r="E123" s="2" t="s">
        <v>32</v>
      </c>
      <c r="F123" s="2" t="s">
        <v>36</v>
      </c>
      <c r="G123" s="2" t="s">
        <v>37</v>
      </c>
      <c r="H123" s="2" t="s">
        <v>41</v>
      </c>
      <c r="I123" s="2" t="s">
        <v>38</v>
      </c>
    </row>
    <row r="124" spans="2:9" x14ac:dyDescent="0.35">
      <c r="D124" s="3">
        <v>2020</v>
      </c>
      <c r="E124" s="5">
        <v>0</v>
      </c>
      <c r="F124" s="5">
        <v>11.58</v>
      </c>
      <c r="G124" s="5">
        <v>0</v>
      </c>
      <c r="H124" s="5">
        <v>-0.03</v>
      </c>
      <c r="I124" s="5">
        <v>0</v>
      </c>
    </row>
    <row r="125" spans="2:9" x14ac:dyDescent="0.35">
      <c r="D125" s="3">
        <v>2021</v>
      </c>
      <c r="E125" s="5">
        <v>0</v>
      </c>
      <c r="F125" s="3">
        <v>0</v>
      </c>
      <c r="G125" s="3">
        <v>0</v>
      </c>
      <c r="H125" s="3">
        <v>0</v>
      </c>
      <c r="I125" s="3">
        <v>0</v>
      </c>
    </row>
    <row r="126" spans="2:9" x14ac:dyDescent="0.35">
      <c r="D126" s="3">
        <v>2022</v>
      </c>
      <c r="E126" s="5">
        <v>0</v>
      </c>
      <c r="F126" s="3">
        <v>0</v>
      </c>
      <c r="G126" s="3">
        <v>0</v>
      </c>
      <c r="H126" s="3">
        <v>0</v>
      </c>
      <c r="I126" s="3">
        <v>0</v>
      </c>
    </row>
    <row r="129" spans="2:11" x14ac:dyDescent="0.35">
      <c r="B129" s="23" t="s">
        <v>103</v>
      </c>
    </row>
    <row r="131" spans="2:11" x14ac:dyDescent="0.35">
      <c r="D131" t="s">
        <v>104</v>
      </c>
    </row>
    <row r="132" spans="2:11" x14ac:dyDescent="0.35">
      <c r="D132" t="s">
        <v>105</v>
      </c>
    </row>
    <row r="133" spans="2:11" x14ac:dyDescent="0.35">
      <c r="D133" s="10">
        <v>2020</v>
      </c>
      <c r="E133" s="10"/>
      <c r="F133" s="10"/>
      <c r="G133" s="10"/>
      <c r="H133" s="10"/>
    </row>
    <row r="134" spans="2:11" x14ac:dyDescent="0.35">
      <c r="D134" t="s">
        <v>45</v>
      </c>
      <c r="E134" t="s">
        <v>46</v>
      </c>
      <c r="F134" t="s">
        <v>37</v>
      </c>
      <c r="G134" t="s">
        <v>38</v>
      </c>
      <c r="H134" t="s">
        <v>36</v>
      </c>
      <c r="I134" t="s">
        <v>41</v>
      </c>
      <c r="J134" t="s">
        <v>50</v>
      </c>
      <c r="K134" t="s">
        <v>51</v>
      </c>
    </row>
    <row r="135" spans="2:11" x14ac:dyDescent="0.35">
      <c r="D135" s="3" t="s">
        <v>11</v>
      </c>
      <c r="E135" s="8">
        <v>0</v>
      </c>
      <c r="F135" s="5">
        <v>0</v>
      </c>
      <c r="G135" s="5">
        <v>0</v>
      </c>
      <c r="H135" s="5">
        <v>0</v>
      </c>
      <c r="I135" s="5">
        <v>-1.1499999999999999</v>
      </c>
      <c r="J135" s="5">
        <v>-1.1499999999999999</v>
      </c>
      <c r="K135" s="8">
        <v>5.11E-3</v>
      </c>
    </row>
    <row r="136" spans="2:11" x14ac:dyDescent="0.35">
      <c r="D136" s="3" t="s">
        <v>8</v>
      </c>
      <c r="E136" s="8">
        <v>0</v>
      </c>
      <c r="F136" s="5">
        <v>0</v>
      </c>
      <c r="G136" s="5">
        <v>0</v>
      </c>
      <c r="H136" s="5">
        <v>11.58</v>
      </c>
      <c r="I136" s="5">
        <v>-0.03</v>
      </c>
      <c r="J136" s="5">
        <v>11.55</v>
      </c>
      <c r="K136" s="8">
        <v>0.66879999999999995</v>
      </c>
    </row>
    <row r="137" spans="2:11" x14ac:dyDescent="0.35">
      <c r="D137" s="3" t="s">
        <v>10</v>
      </c>
      <c r="E137" s="8">
        <v>12.03</v>
      </c>
      <c r="F137" s="5">
        <v>0</v>
      </c>
      <c r="G137" s="5">
        <v>0</v>
      </c>
      <c r="H137" s="5">
        <v>0</v>
      </c>
      <c r="I137" s="5">
        <v>0</v>
      </c>
      <c r="J137" s="5">
        <v>0</v>
      </c>
      <c r="K137" s="8">
        <v>0.42</v>
      </c>
    </row>
    <row r="138" spans="2:11" x14ac:dyDescent="0.35">
      <c r="D138" s="3" t="s">
        <v>53</v>
      </c>
      <c r="E138" s="8">
        <v>0</v>
      </c>
      <c r="F138" s="5">
        <v>0</v>
      </c>
      <c r="G138" s="5">
        <v>0</v>
      </c>
      <c r="H138" s="5">
        <v>0</v>
      </c>
      <c r="I138" s="5">
        <v>0</v>
      </c>
      <c r="J138" s="5">
        <v>0</v>
      </c>
      <c r="K138" s="8">
        <v>100</v>
      </c>
    </row>
    <row r="139" spans="2:11" x14ac:dyDescent="0.35">
      <c r="D139" s="3" t="s">
        <v>12</v>
      </c>
      <c r="E139" s="8">
        <v>0</v>
      </c>
      <c r="F139" s="5">
        <v>0</v>
      </c>
      <c r="G139" s="5">
        <v>0</v>
      </c>
      <c r="H139" s="5">
        <v>0</v>
      </c>
      <c r="I139" s="5">
        <v>-486</v>
      </c>
      <c r="J139" s="5">
        <v>-486</v>
      </c>
      <c r="K139" s="8">
        <v>0.89500000000000002</v>
      </c>
    </row>
  </sheetData>
  <mergeCells count="2">
    <mergeCell ref="D34:R34"/>
    <mergeCell ref="E49:P4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CreateTxnTables">
                <anchor moveWithCells="1" sizeWithCells="1">
                  <from>
                    <xdr:col>2</xdr:col>
                    <xdr:colOff>361950</xdr:colOff>
                    <xdr:row>6</xdr:row>
                    <xdr:rowOff>38100</xdr:rowOff>
                  </from>
                  <to>
                    <xdr:col>6</xdr:col>
                    <xdr:colOff>406400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9"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6C8F3-9817-40D2-94DD-F4A5C32BD216}">
  <sheetPr codeName="Sheet38"/>
  <dimension ref="A1:H7"/>
  <sheetViews>
    <sheetView tabSelected="1" workbookViewId="0"/>
  </sheetViews>
  <sheetFormatPr defaultRowHeight="14.5" x14ac:dyDescent="0.35"/>
  <cols>
    <col min="1" max="6" width="10.26953125" customWidth="1"/>
  </cols>
  <sheetData>
    <row r="1" spans="1:8" x14ac:dyDescent="0.35">
      <c r="A1" s="10">
        <v>2020</v>
      </c>
      <c r="B1" s="10"/>
      <c r="C1" s="10"/>
      <c r="D1" s="10"/>
      <c r="E1" s="10"/>
    </row>
    <row r="2" spans="1:8" x14ac:dyDescent="0.35">
      <c r="A2" t="s">
        <v>45</v>
      </c>
      <c r="B2" t="s">
        <v>46</v>
      </c>
      <c r="C2" t="s">
        <v>37</v>
      </c>
      <c r="D2" t="s">
        <v>38</v>
      </c>
      <c r="E2" t="s">
        <v>36</v>
      </c>
      <c r="F2" t="s">
        <v>41</v>
      </c>
      <c r="G2" t="s">
        <v>50</v>
      </c>
      <c r="H2" t="s">
        <v>51</v>
      </c>
    </row>
    <row r="3" spans="1:8" x14ac:dyDescent="0.35">
      <c r="A3" s="3" t="s">
        <v>11</v>
      </c>
      <c r="B3" s="5">
        <v>0</v>
      </c>
      <c r="C3" s="5">
        <v>0</v>
      </c>
      <c r="D3" s="5">
        <v>0</v>
      </c>
      <c r="E3" s="5">
        <v>0</v>
      </c>
      <c r="F3" s="5">
        <v>-1.1499999999999999</v>
      </c>
      <c r="G3" s="5">
        <v>-1.1499999999999999</v>
      </c>
      <c r="H3" s="8">
        <v>5.11E-3</v>
      </c>
    </row>
    <row r="4" spans="1:8" x14ac:dyDescent="0.35">
      <c r="A4" s="3" t="s">
        <v>8</v>
      </c>
      <c r="B4" s="5">
        <v>0</v>
      </c>
      <c r="C4" s="5">
        <v>0</v>
      </c>
      <c r="D4" s="5">
        <v>0</v>
      </c>
      <c r="E4" s="5">
        <v>11.59</v>
      </c>
      <c r="F4" s="5">
        <v>-0.03</v>
      </c>
      <c r="G4" s="5">
        <v>11.56</v>
      </c>
      <c r="H4" s="8">
        <v>0.66879999999999995</v>
      </c>
    </row>
    <row r="5" spans="1:8" x14ac:dyDescent="0.35">
      <c r="A5" s="3" t="s">
        <v>10</v>
      </c>
      <c r="B5" s="5">
        <v>12.03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8">
        <v>0.42</v>
      </c>
    </row>
    <row r="6" spans="1:8" x14ac:dyDescent="0.35">
      <c r="A6" s="3" t="s">
        <v>53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8">
        <v>100</v>
      </c>
    </row>
    <row r="7" spans="1:8" x14ac:dyDescent="0.35">
      <c r="A7" s="3" t="s">
        <v>12</v>
      </c>
      <c r="B7" s="5">
        <v>0</v>
      </c>
      <c r="C7" s="5">
        <v>0</v>
      </c>
      <c r="D7" s="5">
        <v>0</v>
      </c>
      <c r="E7" s="5">
        <v>0</v>
      </c>
      <c r="F7" s="5">
        <v>-486</v>
      </c>
      <c r="G7" s="5">
        <v>-486</v>
      </c>
      <c r="H7" s="8">
        <v>0.89500000000000002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2501-0828-49B8-814F-73D7AB31949A}">
  <sheetPr codeName="Sheet37"/>
  <dimension ref="A3:AJ7"/>
  <sheetViews>
    <sheetView workbookViewId="0"/>
  </sheetViews>
  <sheetFormatPr defaultRowHeight="14.5" x14ac:dyDescent="0.35"/>
  <cols>
    <col min="1" max="9" width="10.26953125" customWidth="1"/>
    <col min="10" max="15" width="11.26953125" customWidth="1"/>
    <col min="18" max="25" width="10.26953125" customWidth="1"/>
    <col min="27" max="29" width="10.26953125" customWidth="1"/>
    <col min="31" max="36" width="10.26953125" customWidth="1"/>
  </cols>
  <sheetData>
    <row r="3" spans="1:36" x14ac:dyDescent="0.35">
      <c r="A3" s="10" t="s">
        <v>43</v>
      </c>
      <c r="B3" s="10"/>
      <c r="C3" s="10"/>
      <c r="D3" s="10"/>
      <c r="E3" s="10"/>
      <c r="F3" s="10" t="s">
        <v>44</v>
      </c>
      <c r="G3" s="10"/>
      <c r="H3" s="10"/>
      <c r="I3" s="10"/>
      <c r="J3" s="10"/>
      <c r="K3" s="10"/>
      <c r="L3" s="10"/>
      <c r="M3" s="10"/>
      <c r="N3" s="10"/>
      <c r="O3" s="10"/>
      <c r="R3" s="10" t="s">
        <v>65</v>
      </c>
      <c r="S3" s="10"/>
      <c r="T3" s="10"/>
      <c r="U3" s="10"/>
      <c r="V3" s="10"/>
      <c r="W3" s="10"/>
      <c r="X3" s="10"/>
      <c r="Y3" s="10"/>
      <c r="AA3" s="10" t="s">
        <v>97</v>
      </c>
      <c r="AB3" s="10"/>
      <c r="AC3" s="10"/>
      <c r="AE3" s="10" t="s">
        <v>98</v>
      </c>
      <c r="AF3" s="10"/>
      <c r="AG3" s="10"/>
      <c r="AH3" s="10"/>
      <c r="AI3" s="10"/>
      <c r="AJ3" s="10"/>
    </row>
    <row r="4" spans="1:36" ht="43.5" x14ac:dyDescent="0.35">
      <c r="A4" s="2" t="s">
        <v>52</v>
      </c>
      <c r="B4" s="2" t="s">
        <v>42</v>
      </c>
      <c r="C4" s="2" t="s">
        <v>40</v>
      </c>
      <c r="D4" s="2" t="s">
        <v>16</v>
      </c>
      <c r="E4" s="2" t="s">
        <v>17</v>
      </c>
      <c r="F4" s="11" t="s">
        <v>30</v>
      </c>
      <c r="G4" s="11" t="s">
        <v>18</v>
      </c>
      <c r="H4" s="11" t="s">
        <v>19</v>
      </c>
      <c r="I4" s="11" t="s">
        <v>20</v>
      </c>
      <c r="J4" s="11" t="s">
        <v>26</v>
      </c>
      <c r="K4" s="11" t="s">
        <v>29</v>
      </c>
      <c r="L4" s="11" t="s">
        <v>21</v>
      </c>
      <c r="M4" s="11" t="s">
        <v>27</v>
      </c>
      <c r="N4" s="11" t="s">
        <v>22</v>
      </c>
      <c r="O4" s="11" t="s">
        <v>28</v>
      </c>
      <c r="R4" s="2" t="s">
        <v>25</v>
      </c>
      <c r="S4" s="2" t="s">
        <v>26</v>
      </c>
      <c r="T4" s="2" t="s">
        <v>30</v>
      </c>
      <c r="U4" s="2" t="s">
        <v>35</v>
      </c>
      <c r="V4" s="2" t="s">
        <v>23</v>
      </c>
      <c r="W4" s="2" t="s">
        <v>27</v>
      </c>
      <c r="X4" s="2" t="s">
        <v>24</v>
      </c>
      <c r="Y4" s="2" t="s">
        <v>28</v>
      </c>
      <c r="AA4" s="2" t="s">
        <v>31</v>
      </c>
      <c r="AB4" s="2" t="s">
        <v>34</v>
      </c>
      <c r="AC4" s="2" t="s">
        <v>33</v>
      </c>
      <c r="AE4" s="2" t="s">
        <v>31</v>
      </c>
      <c r="AF4" s="2" t="s">
        <v>32</v>
      </c>
      <c r="AG4" s="2" t="s">
        <v>36</v>
      </c>
      <c r="AH4" s="2" t="s">
        <v>37</v>
      </c>
      <c r="AI4" s="2" t="s">
        <v>41</v>
      </c>
      <c r="AJ4" s="2" t="s">
        <v>38</v>
      </c>
    </row>
    <row r="5" spans="1:36" x14ac:dyDescent="0.35">
      <c r="A5" s="7">
        <v>44166</v>
      </c>
      <c r="B5" s="3" t="s">
        <v>5</v>
      </c>
      <c r="C5" s="5">
        <v>3500</v>
      </c>
      <c r="D5" s="8">
        <v>0.54</v>
      </c>
      <c r="E5" s="5">
        <v>1890</v>
      </c>
      <c r="F5" s="9">
        <v>0.54</v>
      </c>
      <c r="G5" s="5">
        <v>2600</v>
      </c>
      <c r="H5" s="5">
        <v>-486</v>
      </c>
      <c r="I5" s="3">
        <v>1</v>
      </c>
      <c r="J5" s="7">
        <v>44171</v>
      </c>
      <c r="K5" s="3" t="s">
        <v>6</v>
      </c>
      <c r="L5" s="5">
        <v>0</v>
      </c>
      <c r="M5" s="4">
        <v>0</v>
      </c>
      <c r="N5" s="5">
        <v>-486</v>
      </c>
      <c r="O5" s="4">
        <v>0</v>
      </c>
      <c r="R5" s="3">
        <v>1</v>
      </c>
      <c r="S5" s="7">
        <v>44171</v>
      </c>
      <c r="T5" s="3">
        <v>0.54</v>
      </c>
      <c r="U5" s="5">
        <v>2600</v>
      </c>
      <c r="V5" s="5">
        <v>0</v>
      </c>
      <c r="W5" s="3">
        <v>0</v>
      </c>
      <c r="X5" s="5">
        <v>-486</v>
      </c>
      <c r="Y5" s="3">
        <v>0</v>
      </c>
      <c r="AA5" s="3">
        <v>2020</v>
      </c>
      <c r="AB5" s="3">
        <v>0</v>
      </c>
      <c r="AC5" s="5">
        <v>0</v>
      </c>
      <c r="AE5" s="3">
        <v>2020</v>
      </c>
      <c r="AF5" s="5">
        <v>0</v>
      </c>
      <c r="AG5" s="5">
        <v>0</v>
      </c>
      <c r="AH5" s="5">
        <v>0</v>
      </c>
      <c r="AI5" s="5">
        <v>-486</v>
      </c>
      <c r="AJ5" s="5">
        <v>0</v>
      </c>
    </row>
    <row r="6" spans="1:36" x14ac:dyDescent="0.35">
      <c r="A6" s="7">
        <v>44166</v>
      </c>
      <c r="B6" s="3" t="s">
        <v>5</v>
      </c>
      <c r="C6" s="5">
        <v>3500</v>
      </c>
      <c r="D6" s="8">
        <v>0.89500000000000002</v>
      </c>
      <c r="E6" s="5">
        <v>3132.5</v>
      </c>
      <c r="F6" s="9"/>
      <c r="G6" s="5"/>
      <c r="H6" s="5"/>
      <c r="I6" s="3"/>
      <c r="J6" s="7"/>
      <c r="K6" s="3"/>
      <c r="L6" s="5"/>
      <c r="M6" s="3"/>
      <c r="N6" s="5"/>
      <c r="O6" s="3"/>
      <c r="AA6" s="3">
        <v>2021</v>
      </c>
      <c r="AB6" s="3">
        <v>0</v>
      </c>
      <c r="AC6" s="5">
        <v>0</v>
      </c>
      <c r="AE6" s="3">
        <v>2021</v>
      </c>
      <c r="AF6" s="5">
        <v>0</v>
      </c>
      <c r="AG6" s="3">
        <v>0</v>
      </c>
      <c r="AH6" s="3">
        <v>0</v>
      </c>
      <c r="AI6" s="3">
        <v>0</v>
      </c>
      <c r="AJ6" s="3">
        <v>0</v>
      </c>
    </row>
    <row r="7" spans="1:36" x14ac:dyDescent="0.35">
      <c r="A7" s="19"/>
      <c r="B7" s="3"/>
      <c r="C7" s="5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AA7" s="3">
        <v>2022</v>
      </c>
      <c r="AB7" s="3">
        <v>0</v>
      </c>
      <c r="AC7" s="5">
        <v>0</v>
      </c>
      <c r="AE7" s="3">
        <v>2022</v>
      </c>
      <c r="AF7" s="5">
        <v>0</v>
      </c>
      <c r="AG7" s="3">
        <v>0</v>
      </c>
      <c r="AH7" s="3">
        <v>0</v>
      </c>
      <c r="AI7" s="3">
        <v>0</v>
      </c>
      <c r="AJ7" s="3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008A7-EA78-45AA-9DCE-DB82F055D832}">
  <sheetPr codeName="Sheet36"/>
  <dimension ref="A3:AJ7"/>
  <sheetViews>
    <sheetView workbookViewId="0"/>
  </sheetViews>
  <sheetFormatPr defaultRowHeight="14.5" x14ac:dyDescent="0.35"/>
  <cols>
    <col min="1" max="9" width="10.26953125" customWidth="1"/>
    <col min="10" max="15" width="11.26953125" customWidth="1"/>
    <col min="18" max="25" width="10.26953125" customWidth="1"/>
    <col min="27" max="29" width="10.26953125" customWidth="1"/>
    <col min="31" max="36" width="10.26953125" customWidth="1"/>
  </cols>
  <sheetData>
    <row r="3" spans="1:36" x14ac:dyDescent="0.35">
      <c r="A3" s="10" t="s">
        <v>43</v>
      </c>
      <c r="B3" s="10"/>
      <c r="C3" s="10"/>
      <c r="D3" s="10"/>
      <c r="E3" s="10"/>
      <c r="F3" s="10" t="s">
        <v>44</v>
      </c>
      <c r="G3" s="10"/>
      <c r="H3" s="10"/>
      <c r="I3" s="10"/>
      <c r="J3" s="10"/>
      <c r="K3" s="10"/>
      <c r="L3" s="10"/>
      <c r="M3" s="10"/>
      <c r="N3" s="10"/>
      <c r="O3" s="10"/>
      <c r="R3" s="10" t="s">
        <v>65</v>
      </c>
      <c r="S3" s="10"/>
      <c r="T3" s="10"/>
      <c r="U3" s="10"/>
      <c r="V3" s="10"/>
      <c r="W3" s="10"/>
      <c r="X3" s="10"/>
      <c r="Y3" s="10"/>
      <c r="AA3" s="10" t="s">
        <v>97</v>
      </c>
      <c r="AB3" s="10"/>
      <c r="AC3" s="10"/>
      <c r="AE3" s="10" t="s">
        <v>98</v>
      </c>
      <c r="AF3" s="10"/>
      <c r="AG3" s="10"/>
      <c r="AH3" s="10"/>
      <c r="AI3" s="10"/>
      <c r="AJ3" s="10"/>
    </row>
    <row r="4" spans="1:36" ht="43.5" x14ac:dyDescent="0.35">
      <c r="A4" s="2" t="s">
        <v>52</v>
      </c>
      <c r="B4" s="2" t="s">
        <v>42</v>
      </c>
      <c r="C4" s="2" t="s">
        <v>40</v>
      </c>
      <c r="D4" s="2" t="s">
        <v>16</v>
      </c>
      <c r="E4" s="2" t="s">
        <v>17</v>
      </c>
      <c r="F4" s="11" t="s">
        <v>30</v>
      </c>
      <c r="G4" s="11" t="s">
        <v>18</v>
      </c>
      <c r="H4" s="11" t="s">
        <v>19</v>
      </c>
      <c r="I4" s="11" t="s">
        <v>20</v>
      </c>
      <c r="J4" s="11" t="s">
        <v>26</v>
      </c>
      <c r="K4" s="11" t="s">
        <v>29</v>
      </c>
      <c r="L4" s="11" t="s">
        <v>21</v>
      </c>
      <c r="M4" s="11" t="s">
        <v>27</v>
      </c>
      <c r="N4" s="11" t="s">
        <v>22</v>
      </c>
      <c r="O4" s="11" t="s">
        <v>28</v>
      </c>
      <c r="R4" s="2" t="s">
        <v>25</v>
      </c>
      <c r="S4" s="2" t="s">
        <v>26</v>
      </c>
      <c r="T4" s="2" t="s">
        <v>30</v>
      </c>
      <c r="U4" s="2" t="s">
        <v>35</v>
      </c>
      <c r="V4" s="2" t="s">
        <v>23</v>
      </c>
      <c r="W4" s="2" t="s">
        <v>27</v>
      </c>
      <c r="X4" s="2" t="s">
        <v>24</v>
      </c>
      <c r="Y4" s="2" t="s">
        <v>28</v>
      </c>
      <c r="AA4" s="2" t="s">
        <v>31</v>
      </c>
      <c r="AB4" s="2" t="s">
        <v>34</v>
      </c>
      <c r="AC4" s="2" t="s">
        <v>33</v>
      </c>
      <c r="AE4" s="2" t="s">
        <v>31</v>
      </c>
      <c r="AF4" s="2" t="s">
        <v>32</v>
      </c>
      <c r="AG4" s="2" t="s">
        <v>36</v>
      </c>
      <c r="AH4" s="2" t="s">
        <v>37</v>
      </c>
      <c r="AI4" s="2" t="s">
        <v>41</v>
      </c>
      <c r="AJ4" s="2" t="s">
        <v>38</v>
      </c>
    </row>
    <row r="5" spans="1:36" x14ac:dyDescent="0.35">
      <c r="A5" s="7">
        <v>44165</v>
      </c>
      <c r="B5" s="3" t="s">
        <v>5</v>
      </c>
      <c r="C5" s="5">
        <v>1</v>
      </c>
      <c r="D5" s="8">
        <v>500</v>
      </c>
      <c r="E5" s="5">
        <v>500</v>
      </c>
      <c r="F5" s="9">
        <v>500</v>
      </c>
      <c r="G5" s="5">
        <v>1</v>
      </c>
      <c r="H5" s="5">
        <v>0</v>
      </c>
      <c r="I5" s="3">
        <v>1</v>
      </c>
      <c r="J5" s="7">
        <v>44169</v>
      </c>
      <c r="K5" s="3" t="s">
        <v>6</v>
      </c>
      <c r="L5" s="5">
        <v>0</v>
      </c>
      <c r="M5" s="4">
        <v>0</v>
      </c>
      <c r="N5" s="5">
        <v>0</v>
      </c>
      <c r="O5" s="4">
        <v>0</v>
      </c>
      <c r="R5" s="3">
        <v>1</v>
      </c>
      <c r="S5" s="7">
        <v>44169</v>
      </c>
      <c r="T5" s="3">
        <v>500</v>
      </c>
      <c r="U5" s="5">
        <v>1</v>
      </c>
      <c r="V5" s="5">
        <v>0</v>
      </c>
      <c r="W5" s="3">
        <v>0</v>
      </c>
      <c r="X5" s="5">
        <v>0</v>
      </c>
      <c r="Y5" s="3">
        <v>0</v>
      </c>
      <c r="AA5" s="3">
        <v>2020</v>
      </c>
      <c r="AB5" s="3">
        <v>0</v>
      </c>
      <c r="AC5" s="5">
        <v>0</v>
      </c>
      <c r="AE5" s="3">
        <v>2020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</row>
    <row r="6" spans="1:36" x14ac:dyDescent="0.35">
      <c r="A6" s="19">
        <v>44165</v>
      </c>
      <c r="B6" s="3" t="s">
        <v>5</v>
      </c>
      <c r="C6" s="5">
        <v>1</v>
      </c>
      <c r="D6" s="3">
        <v>100</v>
      </c>
      <c r="E6" s="3">
        <v>100</v>
      </c>
      <c r="F6" s="3"/>
      <c r="G6" s="3"/>
      <c r="H6" s="3"/>
      <c r="I6" s="3"/>
      <c r="J6" s="3"/>
      <c r="K6" s="3"/>
      <c r="L6" s="3"/>
      <c r="M6" s="3"/>
      <c r="N6" s="3"/>
      <c r="O6" s="3"/>
      <c r="AA6" s="3">
        <v>2021</v>
      </c>
      <c r="AB6" s="3">
        <v>0</v>
      </c>
      <c r="AC6" s="5">
        <v>0</v>
      </c>
      <c r="AE6" s="3">
        <v>2021</v>
      </c>
      <c r="AF6" s="5">
        <v>0</v>
      </c>
      <c r="AG6" s="3">
        <v>0</v>
      </c>
      <c r="AH6" s="3">
        <v>0</v>
      </c>
      <c r="AI6" s="3">
        <v>0</v>
      </c>
      <c r="AJ6" s="3">
        <v>0</v>
      </c>
    </row>
    <row r="7" spans="1:36" x14ac:dyDescent="0.35">
      <c r="AA7" s="3">
        <v>2022</v>
      </c>
      <c r="AB7" s="3">
        <v>0</v>
      </c>
      <c r="AC7" s="5">
        <v>0</v>
      </c>
      <c r="AE7" s="3">
        <v>2022</v>
      </c>
      <c r="AF7" s="5">
        <v>0</v>
      </c>
      <c r="AG7" s="3">
        <v>0</v>
      </c>
      <c r="AH7" s="3">
        <v>0</v>
      </c>
      <c r="AI7" s="3">
        <v>0</v>
      </c>
      <c r="AJ7" s="3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72814-7242-495E-9419-A90D1DCA9F7F}">
  <sheetPr codeName="Sheet35"/>
  <dimension ref="A3:AJ8"/>
  <sheetViews>
    <sheetView workbookViewId="0"/>
  </sheetViews>
  <sheetFormatPr defaultRowHeight="14.5" x14ac:dyDescent="0.35"/>
  <cols>
    <col min="1" max="9" width="10.26953125" customWidth="1"/>
    <col min="10" max="15" width="11.26953125" customWidth="1"/>
    <col min="18" max="25" width="10.26953125" customWidth="1"/>
    <col min="27" max="29" width="10.26953125" customWidth="1"/>
    <col min="31" max="36" width="10.26953125" customWidth="1"/>
  </cols>
  <sheetData>
    <row r="3" spans="1:36" x14ac:dyDescent="0.35">
      <c r="A3" s="10" t="s">
        <v>43</v>
      </c>
      <c r="B3" s="10"/>
      <c r="C3" s="10"/>
      <c r="D3" s="10"/>
      <c r="E3" s="10"/>
      <c r="F3" s="10" t="s">
        <v>44</v>
      </c>
      <c r="G3" s="10"/>
      <c r="H3" s="10"/>
      <c r="I3" s="10"/>
      <c r="J3" s="10"/>
      <c r="K3" s="10"/>
      <c r="L3" s="10"/>
      <c r="M3" s="10"/>
      <c r="N3" s="10"/>
      <c r="O3" s="10"/>
      <c r="R3" s="10" t="s">
        <v>65</v>
      </c>
      <c r="S3" s="10"/>
      <c r="T3" s="10"/>
      <c r="U3" s="10"/>
      <c r="V3" s="10"/>
      <c r="W3" s="10"/>
      <c r="X3" s="10"/>
      <c r="Y3" s="10"/>
      <c r="AA3" s="10" t="s">
        <v>97</v>
      </c>
      <c r="AB3" s="10"/>
      <c r="AC3" s="10"/>
      <c r="AE3" s="10" t="s">
        <v>98</v>
      </c>
      <c r="AF3" s="10"/>
      <c r="AG3" s="10"/>
      <c r="AH3" s="10"/>
      <c r="AI3" s="10"/>
      <c r="AJ3" s="10"/>
    </row>
    <row r="4" spans="1:36" ht="43.5" x14ac:dyDescent="0.35">
      <c r="A4" s="2" t="s">
        <v>52</v>
      </c>
      <c r="B4" s="2" t="s">
        <v>42</v>
      </c>
      <c r="C4" s="2" t="s">
        <v>40</v>
      </c>
      <c r="D4" s="2" t="s">
        <v>16</v>
      </c>
      <c r="E4" s="2" t="s">
        <v>17</v>
      </c>
      <c r="F4" s="11" t="s">
        <v>30</v>
      </c>
      <c r="G4" s="11" t="s">
        <v>18</v>
      </c>
      <c r="H4" s="11" t="s">
        <v>19</v>
      </c>
      <c r="I4" s="11" t="s">
        <v>20</v>
      </c>
      <c r="J4" s="11" t="s">
        <v>26</v>
      </c>
      <c r="K4" s="11" t="s">
        <v>29</v>
      </c>
      <c r="L4" s="11" t="s">
        <v>21</v>
      </c>
      <c r="M4" s="11" t="s">
        <v>27</v>
      </c>
      <c r="N4" s="11" t="s">
        <v>22</v>
      </c>
      <c r="O4" s="11" t="s">
        <v>28</v>
      </c>
      <c r="R4" s="2" t="s">
        <v>25</v>
      </c>
      <c r="S4" s="2" t="s">
        <v>26</v>
      </c>
      <c r="T4" s="2" t="s">
        <v>30</v>
      </c>
      <c r="U4" s="2" t="s">
        <v>35</v>
      </c>
      <c r="V4" s="2" t="s">
        <v>23</v>
      </c>
      <c r="W4" s="2" t="s">
        <v>27</v>
      </c>
      <c r="X4" s="2" t="s">
        <v>24</v>
      </c>
      <c r="Y4" s="2" t="s">
        <v>28</v>
      </c>
      <c r="AA4" s="2" t="s">
        <v>31</v>
      </c>
      <c r="AB4" s="2" t="s">
        <v>34</v>
      </c>
      <c r="AC4" s="2" t="s">
        <v>33</v>
      </c>
      <c r="AE4" s="2" t="s">
        <v>31</v>
      </c>
      <c r="AF4" s="2" t="s">
        <v>32</v>
      </c>
      <c r="AG4" s="2" t="s">
        <v>36</v>
      </c>
      <c r="AH4" s="2" t="s">
        <v>37</v>
      </c>
      <c r="AI4" s="2" t="s">
        <v>41</v>
      </c>
      <c r="AJ4" s="2" t="s">
        <v>38</v>
      </c>
    </row>
    <row r="5" spans="1:36" x14ac:dyDescent="0.35">
      <c r="A5" s="18">
        <v>44159</v>
      </c>
      <c r="B5" t="s">
        <v>32</v>
      </c>
      <c r="C5" s="6">
        <v>28</v>
      </c>
      <c r="D5">
        <v>0.13</v>
      </c>
      <c r="E5">
        <v>3.64</v>
      </c>
      <c r="R5" s="3"/>
      <c r="S5" s="7"/>
      <c r="T5" s="3"/>
      <c r="U5" s="3"/>
      <c r="V5" s="5"/>
      <c r="W5" s="3"/>
      <c r="X5" s="5"/>
      <c r="Y5" s="3"/>
      <c r="AA5" s="3">
        <v>2020</v>
      </c>
      <c r="AB5" s="25">
        <v>0.42</v>
      </c>
      <c r="AC5" s="5">
        <v>12.03</v>
      </c>
      <c r="AE5" s="3">
        <v>2020</v>
      </c>
      <c r="AF5" s="5">
        <v>12.03</v>
      </c>
      <c r="AG5" s="5">
        <v>0</v>
      </c>
      <c r="AH5" s="5">
        <v>0</v>
      </c>
      <c r="AI5" s="5">
        <v>0</v>
      </c>
      <c r="AJ5" s="5">
        <v>0</v>
      </c>
    </row>
    <row r="6" spans="1:36" x14ac:dyDescent="0.35">
      <c r="A6" s="18">
        <v>44160</v>
      </c>
      <c r="B6" t="s">
        <v>32</v>
      </c>
      <c r="C6" s="6">
        <v>29</v>
      </c>
      <c r="D6">
        <v>0.1</v>
      </c>
      <c r="E6">
        <v>2.9</v>
      </c>
      <c r="AA6" s="3">
        <v>2021</v>
      </c>
      <c r="AB6" s="3">
        <v>0</v>
      </c>
      <c r="AC6" s="5">
        <v>0</v>
      </c>
      <c r="AE6" s="3">
        <v>2021</v>
      </c>
      <c r="AF6" s="5">
        <v>0</v>
      </c>
      <c r="AG6" s="3">
        <v>0</v>
      </c>
      <c r="AH6" s="3">
        <v>0</v>
      </c>
      <c r="AI6" s="3">
        <v>0</v>
      </c>
      <c r="AJ6" s="3">
        <v>0</v>
      </c>
    </row>
    <row r="7" spans="1:36" x14ac:dyDescent="0.35">
      <c r="A7" s="18">
        <v>44161</v>
      </c>
      <c r="B7" t="s">
        <v>32</v>
      </c>
      <c r="C7" s="6">
        <v>31</v>
      </c>
      <c r="D7">
        <v>0.09</v>
      </c>
      <c r="E7">
        <v>2.79</v>
      </c>
      <c r="AA7" s="3">
        <v>2022</v>
      </c>
      <c r="AB7" s="3">
        <v>0</v>
      </c>
      <c r="AC7" s="5">
        <v>0</v>
      </c>
      <c r="AE7" s="3">
        <v>2022</v>
      </c>
      <c r="AF7" s="5">
        <v>0</v>
      </c>
      <c r="AG7" s="3">
        <v>0</v>
      </c>
      <c r="AH7" s="3">
        <v>0</v>
      </c>
      <c r="AI7" s="3">
        <v>0</v>
      </c>
      <c r="AJ7" s="3">
        <v>0</v>
      </c>
    </row>
    <row r="8" spans="1:36" x14ac:dyDescent="0.35">
      <c r="A8" s="18">
        <v>44162</v>
      </c>
      <c r="B8" t="s">
        <v>32</v>
      </c>
      <c r="C8" s="6">
        <v>27</v>
      </c>
      <c r="D8">
        <v>0.1</v>
      </c>
      <c r="E8">
        <v>2.7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05BB2-D2E2-473D-BEE3-3F74ACD41320}">
  <sheetPr codeName="Sheet34"/>
  <dimension ref="A3:AJ10"/>
  <sheetViews>
    <sheetView workbookViewId="0"/>
  </sheetViews>
  <sheetFormatPr defaultRowHeight="14.5" x14ac:dyDescent="0.35"/>
  <cols>
    <col min="1" max="9" width="10.26953125" customWidth="1"/>
    <col min="10" max="15" width="11.26953125" customWidth="1"/>
    <col min="18" max="25" width="10.26953125" customWidth="1"/>
    <col min="27" max="29" width="10.26953125" customWidth="1"/>
    <col min="31" max="36" width="10.26953125" customWidth="1"/>
  </cols>
  <sheetData>
    <row r="3" spans="1:36" x14ac:dyDescent="0.35">
      <c r="A3" s="10" t="s">
        <v>43</v>
      </c>
      <c r="B3" s="10"/>
      <c r="C3" s="10"/>
      <c r="D3" s="10"/>
      <c r="E3" s="10"/>
      <c r="F3" s="10" t="s">
        <v>44</v>
      </c>
      <c r="G3" s="10"/>
      <c r="H3" s="10"/>
      <c r="I3" s="10"/>
      <c r="J3" s="10"/>
      <c r="K3" s="10"/>
      <c r="L3" s="10"/>
      <c r="M3" s="10"/>
      <c r="N3" s="10"/>
      <c r="O3" s="10"/>
      <c r="R3" s="10" t="s">
        <v>65</v>
      </c>
      <c r="S3" s="10"/>
      <c r="T3" s="10"/>
      <c r="U3" s="10"/>
      <c r="V3" s="10"/>
      <c r="W3" s="10"/>
      <c r="X3" s="10"/>
      <c r="Y3" s="10"/>
      <c r="AA3" s="10" t="s">
        <v>97</v>
      </c>
      <c r="AB3" s="10"/>
      <c r="AC3" s="10"/>
      <c r="AE3" s="10" t="s">
        <v>98</v>
      </c>
      <c r="AF3" s="10"/>
      <c r="AG3" s="10"/>
      <c r="AH3" s="10"/>
      <c r="AI3" s="10"/>
      <c r="AJ3" s="10"/>
    </row>
    <row r="4" spans="1:36" ht="43.5" x14ac:dyDescent="0.35">
      <c r="A4" s="2" t="s">
        <v>52</v>
      </c>
      <c r="B4" s="2" t="s">
        <v>42</v>
      </c>
      <c r="C4" s="2" t="s">
        <v>40</v>
      </c>
      <c r="D4" s="2" t="s">
        <v>16</v>
      </c>
      <c r="E4" s="2" t="s">
        <v>17</v>
      </c>
      <c r="F4" s="11" t="s">
        <v>30</v>
      </c>
      <c r="G4" s="11" t="s">
        <v>18</v>
      </c>
      <c r="H4" s="11" t="s">
        <v>19</v>
      </c>
      <c r="I4" s="11" t="s">
        <v>20</v>
      </c>
      <c r="J4" s="11" t="s">
        <v>26</v>
      </c>
      <c r="K4" s="11" t="s">
        <v>29</v>
      </c>
      <c r="L4" s="11" t="s">
        <v>21</v>
      </c>
      <c r="M4" s="11" t="s">
        <v>27</v>
      </c>
      <c r="N4" s="11" t="s">
        <v>22</v>
      </c>
      <c r="O4" s="11" t="s">
        <v>28</v>
      </c>
      <c r="R4" s="2" t="s">
        <v>25</v>
      </c>
      <c r="S4" s="2" t="s">
        <v>26</v>
      </c>
      <c r="T4" s="2" t="s">
        <v>30</v>
      </c>
      <c r="U4" s="2" t="s">
        <v>35</v>
      </c>
      <c r="V4" s="2" t="s">
        <v>23</v>
      </c>
      <c r="W4" s="2" t="s">
        <v>27</v>
      </c>
      <c r="X4" s="2" t="s">
        <v>24</v>
      </c>
      <c r="Y4" s="2" t="s">
        <v>28</v>
      </c>
      <c r="AA4" s="2" t="s">
        <v>31</v>
      </c>
      <c r="AB4" s="2" t="s">
        <v>34</v>
      </c>
      <c r="AC4" s="2" t="s">
        <v>33</v>
      </c>
      <c r="AE4" s="2" t="s">
        <v>31</v>
      </c>
      <c r="AF4" s="2" t="s">
        <v>32</v>
      </c>
      <c r="AG4" s="2" t="s">
        <v>36</v>
      </c>
      <c r="AH4" s="2" t="s">
        <v>37</v>
      </c>
      <c r="AI4" s="2" t="s">
        <v>41</v>
      </c>
      <c r="AJ4" s="2" t="s">
        <v>38</v>
      </c>
    </row>
    <row r="5" spans="1:36" x14ac:dyDescent="0.35">
      <c r="A5" s="7">
        <v>44157</v>
      </c>
      <c r="B5" s="3" t="s">
        <v>5</v>
      </c>
      <c r="C5" s="5">
        <v>555</v>
      </c>
      <c r="D5" s="8">
        <v>0.43</v>
      </c>
      <c r="E5" s="5">
        <v>238.65</v>
      </c>
      <c r="F5" s="9">
        <v>0.52</v>
      </c>
      <c r="G5" s="5">
        <v>580</v>
      </c>
      <c r="H5" s="5">
        <v>10.75</v>
      </c>
      <c r="I5" s="3">
        <v>1</v>
      </c>
      <c r="J5" s="7">
        <v>44163</v>
      </c>
      <c r="K5" s="3" t="s">
        <v>6</v>
      </c>
      <c r="L5" s="5">
        <v>11.58</v>
      </c>
      <c r="M5" s="4">
        <v>0</v>
      </c>
      <c r="N5" s="5">
        <v>0</v>
      </c>
      <c r="O5" s="4">
        <v>0</v>
      </c>
      <c r="R5" s="3">
        <v>1</v>
      </c>
      <c r="S5" s="7">
        <v>44163</v>
      </c>
      <c r="T5" s="3">
        <v>0.52</v>
      </c>
      <c r="U5" s="5">
        <v>580</v>
      </c>
      <c r="V5" s="5">
        <v>11.58</v>
      </c>
      <c r="W5" s="3">
        <v>0</v>
      </c>
      <c r="X5" s="5">
        <v>0</v>
      </c>
      <c r="Y5" s="3">
        <v>0</v>
      </c>
      <c r="AA5" s="3">
        <v>2020</v>
      </c>
      <c r="AB5" s="3">
        <v>0</v>
      </c>
      <c r="AC5" s="5">
        <v>0</v>
      </c>
      <c r="AE5" s="3">
        <v>2020</v>
      </c>
      <c r="AF5" s="5">
        <v>0</v>
      </c>
      <c r="AG5" s="5">
        <v>11.59</v>
      </c>
      <c r="AH5" s="5">
        <v>0</v>
      </c>
      <c r="AI5" s="5">
        <v>-0.03</v>
      </c>
      <c r="AJ5" s="5">
        <v>0</v>
      </c>
    </row>
    <row r="6" spans="1:36" x14ac:dyDescent="0.35">
      <c r="A6" s="7">
        <v>44158</v>
      </c>
      <c r="B6" s="3" t="s">
        <v>5</v>
      </c>
      <c r="C6" s="5">
        <v>570.78</v>
      </c>
      <c r="D6" s="8">
        <v>0.09</v>
      </c>
      <c r="E6" s="5">
        <v>51.37</v>
      </c>
      <c r="F6" s="9">
        <v>0.52</v>
      </c>
      <c r="G6" s="5">
        <v>580</v>
      </c>
      <c r="H6" s="5">
        <v>0.83</v>
      </c>
      <c r="I6" s="3">
        <v>1</v>
      </c>
      <c r="J6" s="7">
        <v>44163</v>
      </c>
      <c r="K6" s="3" t="s">
        <v>6</v>
      </c>
      <c r="L6" s="5">
        <v>11.58</v>
      </c>
      <c r="M6" s="4">
        <v>0</v>
      </c>
      <c r="N6" s="5">
        <v>0</v>
      </c>
      <c r="O6" s="4">
        <v>0</v>
      </c>
      <c r="R6" s="3">
        <v>2</v>
      </c>
      <c r="S6" s="19">
        <v>44164</v>
      </c>
      <c r="T6" s="3">
        <v>2.0000000000000001E-4</v>
      </c>
      <c r="U6" s="5">
        <v>580</v>
      </c>
      <c r="V6" s="5">
        <v>0.01</v>
      </c>
      <c r="W6" s="3">
        <v>0</v>
      </c>
      <c r="X6" s="5">
        <v>0</v>
      </c>
      <c r="Y6" s="3">
        <v>0</v>
      </c>
      <c r="AA6" s="3">
        <v>2021</v>
      </c>
      <c r="AB6" s="3">
        <v>0</v>
      </c>
      <c r="AC6" s="5">
        <v>0</v>
      </c>
      <c r="AE6" s="3">
        <v>2021</v>
      </c>
      <c r="AF6" s="5">
        <v>0</v>
      </c>
      <c r="AG6" s="3">
        <v>0</v>
      </c>
      <c r="AH6" s="3">
        <v>0</v>
      </c>
      <c r="AI6" s="3">
        <v>0</v>
      </c>
      <c r="AJ6" s="3">
        <v>0</v>
      </c>
    </row>
    <row r="7" spans="1:36" x14ac:dyDescent="0.35">
      <c r="A7" s="7">
        <v>44158</v>
      </c>
      <c r="B7" s="3" t="s">
        <v>5</v>
      </c>
      <c r="C7" s="5">
        <v>570.78</v>
      </c>
      <c r="D7" s="8">
        <v>2.0000000000000001E-4</v>
      </c>
      <c r="E7" s="5">
        <v>0.11</v>
      </c>
      <c r="F7" s="9">
        <v>2.0000000000000001E-4</v>
      </c>
      <c r="G7" s="5">
        <v>580</v>
      </c>
      <c r="H7" s="5">
        <v>0.01</v>
      </c>
      <c r="I7" s="3">
        <v>2</v>
      </c>
      <c r="J7" s="7">
        <v>44164</v>
      </c>
      <c r="K7" s="3" t="s">
        <v>6</v>
      </c>
      <c r="L7" s="5">
        <v>0.01</v>
      </c>
      <c r="M7" s="4">
        <v>0</v>
      </c>
      <c r="N7" s="5">
        <v>0</v>
      </c>
      <c r="O7" s="4">
        <v>0</v>
      </c>
      <c r="R7" s="3">
        <v>3</v>
      </c>
      <c r="S7" s="19">
        <v>44172</v>
      </c>
      <c r="T7" s="3">
        <v>1E-3</v>
      </c>
      <c r="U7" s="5">
        <v>545</v>
      </c>
      <c r="V7" s="5">
        <v>0</v>
      </c>
      <c r="W7" s="3">
        <v>0</v>
      </c>
      <c r="X7" s="5">
        <v>-0.03</v>
      </c>
      <c r="Y7" s="3">
        <v>0</v>
      </c>
      <c r="AA7" s="3">
        <v>2022</v>
      </c>
      <c r="AB7" s="3">
        <v>0</v>
      </c>
      <c r="AC7" s="5">
        <v>0</v>
      </c>
      <c r="AE7" s="3">
        <v>2022</v>
      </c>
      <c r="AF7" s="5">
        <v>0</v>
      </c>
      <c r="AG7" s="3">
        <v>0</v>
      </c>
      <c r="AH7" s="3">
        <v>0</v>
      </c>
      <c r="AI7" s="3">
        <v>0</v>
      </c>
      <c r="AJ7" s="3">
        <v>0</v>
      </c>
    </row>
    <row r="8" spans="1:36" x14ac:dyDescent="0.35">
      <c r="A8" s="7">
        <v>44158</v>
      </c>
      <c r="B8" s="3" t="s">
        <v>5</v>
      </c>
      <c r="C8" s="5">
        <v>570.78</v>
      </c>
      <c r="D8" s="8">
        <v>1E-3</v>
      </c>
      <c r="E8" s="5">
        <v>0.56999999999999995</v>
      </c>
      <c r="F8" s="9">
        <v>1E-3</v>
      </c>
      <c r="G8" s="5">
        <v>545</v>
      </c>
      <c r="H8" s="5">
        <v>-0.03</v>
      </c>
      <c r="I8" s="3">
        <v>3</v>
      </c>
      <c r="J8" s="7">
        <v>44172</v>
      </c>
      <c r="K8" s="3" t="s">
        <v>6</v>
      </c>
      <c r="L8" s="5">
        <v>0</v>
      </c>
      <c r="M8" s="4">
        <v>0</v>
      </c>
      <c r="N8" s="5">
        <v>-0.03</v>
      </c>
      <c r="O8" s="4">
        <v>0</v>
      </c>
    </row>
    <row r="9" spans="1:36" x14ac:dyDescent="0.35">
      <c r="A9" s="7">
        <v>44158</v>
      </c>
      <c r="B9" s="3" t="s">
        <v>5</v>
      </c>
      <c r="C9" s="5">
        <v>570.78</v>
      </c>
      <c r="D9" s="8">
        <v>0.42880000000000001</v>
      </c>
      <c r="E9" s="5">
        <v>244.75</v>
      </c>
      <c r="F9" s="9"/>
      <c r="G9" s="5"/>
      <c r="H9" s="5"/>
      <c r="I9" s="3"/>
      <c r="J9" s="7"/>
      <c r="K9" s="3"/>
      <c r="L9" s="5"/>
      <c r="M9" s="3"/>
      <c r="N9" s="5"/>
      <c r="O9" s="3"/>
    </row>
    <row r="10" spans="1:36" x14ac:dyDescent="0.35">
      <c r="A10" s="7">
        <v>44167</v>
      </c>
      <c r="B10" s="3" t="s">
        <v>5</v>
      </c>
      <c r="C10" s="5">
        <v>400</v>
      </c>
      <c r="D10" s="8">
        <v>0.24</v>
      </c>
      <c r="E10" s="5">
        <v>96</v>
      </c>
      <c r="F10" s="9"/>
      <c r="G10" s="5"/>
      <c r="H10" s="5"/>
      <c r="I10" s="3"/>
      <c r="J10" s="7"/>
      <c r="K10" s="3"/>
      <c r="L10" s="5"/>
      <c r="M10" s="3"/>
      <c r="N10" s="5"/>
      <c r="O10" s="3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A69A3-D89A-4555-90A2-51E3C31DE839}">
  <sheetPr codeName="Sheet33"/>
  <dimension ref="A3:AJ7"/>
  <sheetViews>
    <sheetView workbookViewId="0"/>
  </sheetViews>
  <sheetFormatPr defaultRowHeight="14.5" x14ac:dyDescent="0.35"/>
  <cols>
    <col min="1" max="9" width="10.26953125" customWidth="1"/>
    <col min="10" max="15" width="11.26953125" customWidth="1"/>
    <col min="18" max="25" width="10.26953125" customWidth="1"/>
    <col min="27" max="29" width="10.26953125" customWidth="1"/>
    <col min="31" max="36" width="10.26953125" customWidth="1"/>
  </cols>
  <sheetData>
    <row r="3" spans="1:36" x14ac:dyDescent="0.35">
      <c r="A3" s="10" t="s">
        <v>43</v>
      </c>
      <c r="B3" s="10"/>
      <c r="C3" s="10"/>
      <c r="D3" s="10"/>
      <c r="E3" s="10"/>
      <c r="F3" s="10" t="s">
        <v>44</v>
      </c>
      <c r="G3" s="10"/>
      <c r="H3" s="10"/>
      <c r="I3" s="10"/>
      <c r="J3" s="10"/>
      <c r="K3" s="10"/>
      <c r="L3" s="10"/>
      <c r="M3" s="10"/>
      <c r="N3" s="10"/>
      <c r="O3" s="10"/>
      <c r="R3" s="10" t="s">
        <v>65</v>
      </c>
      <c r="S3" s="10"/>
      <c r="T3" s="10"/>
      <c r="U3" s="10"/>
      <c r="V3" s="10"/>
      <c r="W3" s="10"/>
      <c r="X3" s="10"/>
      <c r="Y3" s="10"/>
      <c r="AA3" s="10" t="s">
        <v>97</v>
      </c>
      <c r="AB3" s="10"/>
      <c r="AC3" s="10"/>
      <c r="AE3" s="10" t="s">
        <v>98</v>
      </c>
      <c r="AF3" s="10"/>
      <c r="AG3" s="10"/>
      <c r="AH3" s="10"/>
      <c r="AI3" s="10"/>
      <c r="AJ3" s="10"/>
    </row>
    <row r="4" spans="1:36" ht="43.5" x14ac:dyDescent="0.35">
      <c r="A4" s="2" t="s">
        <v>52</v>
      </c>
      <c r="B4" s="2" t="s">
        <v>42</v>
      </c>
      <c r="C4" s="2" t="s">
        <v>40</v>
      </c>
      <c r="D4" s="2" t="s">
        <v>16</v>
      </c>
      <c r="E4" s="2" t="s">
        <v>17</v>
      </c>
      <c r="F4" s="11" t="s">
        <v>30</v>
      </c>
      <c r="G4" s="11" t="s">
        <v>18</v>
      </c>
      <c r="H4" s="11" t="s">
        <v>19</v>
      </c>
      <c r="I4" s="11" t="s">
        <v>20</v>
      </c>
      <c r="J4" s="11" t="s">
        <v>26</v>
      </c>
      <c r="K4" s="11" t="s">
        <v>29</v>
      </c>
      <c r="L4" s="11" t="s">
        <v>21</v>
      </c>
      <c r="M4" s="11" t="s">
        <v>27</v>
      </c>
      <c r="N4" s="11" t="s">
        <v>22</v>
      </c>
      <c r="O4" s="11" t="s">
        <v>28</v>
      </c>
      <c r="R4" s="2" t="s">
        <v>25</v>
      </c>
      <c r="S4" s="2" t="s">
        <v>26</v>
      </c>
      <c r="T4" s="2" t="s">
        <v>30</v>
      </c>
      <c r="U4" s="2" t="s">
        <v>35</v>
      </c>
      <c r="V4" s="2" t="s">
        <v>23</v>
      </c>
      <c r="W4" s="2" t="s">
        <v>27</v>
      </c>
      <c r="X4" s="2" t="s">
        <v>24</v>
      </c>
      <c r="Y4" s="2" t="s">
        <v>28</v>
      </c>
      <c r="AA4" s="2" t="s">
        <v>31</v>
      </c>
      <c r="AB4" s="2" t="s">
        <v>34</v>
      </c>
      <c r="AC4" s="2" t="s">
        <v>33</v>
      </c>
      <c r="AE4" s="2" t="s">
        <v>31</v>
      </c>
      <c r="AF4" s="2" t="s">
        <v>32</v>
      </c>
      <c r="AG4" s="2" t="s">
        <v>36</v>
      </c>
      <c r="AH4" s="2" t="s">
        <v>37</v>
      </c>
      <c r="AI4" s="2" t="s">
        <v>41</v>
      </c>
      <c r="AJ4" s="2" t="s">
        <v>38</v>
      </c>
    </row>
    <row r="5" spans="1:36" x14ac:dyDescent="0.35">
      <c r="A5" s="7">
        <v>44155.667361111096</v>
      </c>
      <c r="B5" s="3" t="s">
        <v>5</v>
      </c>
      <c r="C5" s="5">
        <v>50000</v>
      </c>
      <c r="D5" s="8">
        <v>2.3000000000000001E-4</v>
      </c>
      <c r="E5" s="5">
        <v>11.5</v>
      </c>
      <c r="F5" s="9">
        <v>2.3000000000000001E-4</v>
      </c>
      <c r="G5" s="5">
        <v>45000</v>
      </c>
      <c r="H5" s="5">
        <v>-1.1499999999999999</v>
      </c>
      <c r="I5" s="3">
        <v>1</v>
      </c>
      <c r="J5" s="7">
        <v>44168</v>
      </c>
      <c r="K5" s="3" t="s">
        <v>6</v>
      </c>
      <c r="L5" s="5">
        <v>0</v>
      </c>
      <c r="M5" s="4">
        <v>0</v>
      </c>
      <c r="N5" s="5">
        <v>-1.1499999999999999</v>
      </c>
      <c r="O5" s="4">
        <v>0</v>
      </c>
      <c r="R5" s="3">
        <v>1</v>
      </c>
      <c r="S5" s="7">
        <v>44168</v>
      </c>
      <c r="T5" s="3">
        <v>2.3000000000000001E-4</v>
      </c>
      <c r="U5" s="5">
        <v>45000</v>
      </c>
      <c r="V5" s="5">
        <v>0</v>
      </c>
      <c r="W5" s="3">
        <v>0</v>
      </c>
      <c r="X5" s="5">
        <v>-1.1499999999999999</v>
      </c>
      <c r="Y5" s="3">
        <v>0</v>
      </c>
      <c r="AA5" s="3">
        <v>2020</v>
      </c>
      <c r="AB5" s="3">
        <v>0</v>
      </c>
      <c r="AC5" s="5">
        <v>0</v>
      </c>
      <c r="AE5" s="3">
        <v>2020</v>
      </c>
      <c r="AF5" s="5">
        <v>0</v>
      </c>
      <c r="AG5" s="5">
        <v>0</v>
      </c>
      <c r="AH5" s="5">
        <v>0</v>
      </c>
      <c r="AI5" s="5">
        <v>-1.1499999999999999</v>
      </c>
      <c r="AJ5" s="5">
        <v>0</v>
      </c>
    </row>
    <row r="6" spans="1:36" x14ac:dyDescent="0.35">
      <c r="A6" s="7">
        <v>44155.667361111096</v>
      </c>
      <c r="B6" s="3" t="s">
        <v>5</v>
      </c>
      <c r="C6" s="5">
        <v>50000</v>
      </c>
      <c r="D6" s="8">
        <v>5.11E-3</v>
      </c>
      <c r="E6" s="5">
        <v>255.5</v>
      </c>
      <c r="F6" s="9"/>
      <c r="G6" s="5"/>
      <c r="H6" s="5"/>
      <c r="I6" s="3"/>
      <c r="J6" s="7"/>
      <c r="K6" s="3"/>
      <c r="L6" s="5"/>
      <c r="M6" s="3"/>
      <c r="N6" s="5"/>
      <c r="O6" s="3"/>
      <c r="AA6" s="3">
        <v>2021</v>
      </c>
      <c r="AB6" s="3">
        <v>0</v>
      </c>
      <c r="AC6" s="5">
        <v>0</v>
      </c>
      <c r="AE6" s="3">
        <v>2021</v>
      </c>
      <c r="AF6" s="5">
        <v>0</v>
      </c>
      <c r="AG6" s="3">
        <v>0</v>
      </c>
      <c r="AH6" s="3">
        <v>0</v>
      </c>
      <c r="AI6" s="3">
        <v>0</v>
      </c>
      <c r="AJ6" s="3">
        <v>0</v>
      </c>
    </row>
    <row r="7" spans="1:36" x14ac:dyDescent="0.35">
      <c r="A7" s="19"/>
      <c r="B7" s="3"/>
      <c r="C7" s="5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AA7" s="3">
        <v>2022</v>
      </c>
      <c r="AB7" s="3">
        <v>0</v>
      </c>
      <c r="AC7" s="5">
        <v>0</v>
      </c>
      <c r="AE7" s="3">
        <v>2022</v>
      </c>
      <c r="AF7" s="5">
        <v>0</v>
      </c>
      <c r="AG7" s="3">
        <v>0</v>
      </c>
      <c r="AH7" s="3">
        <v>0</v>
      </c>
      <c r="AI7" s="3">
        <v>0</v>
      </c>
      <c r="AJ7" s="3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Transaction</vt:lpstr>
      <vt:lpstr>Control Center</vt:lpstr>
      <vt:lpstr>Portfolio_Summary</vt:lpstr>
      <vt:lpstr>ETH_txn</vt:lpstr>
      <vt:lpstr>USDC_txn</vt:lpstr>
      <vt:lpstr>HNT_txn</vt:lpstr>
      <vt:lpstr>BNB_txn</vt:lpstr>
      <vt:lpstr>BTC_txn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Spinrad</dc:creator>
  <cp:lastModifiedBy>David Spinrad</cp:lastModifiedBy>
  <dcterms:created xsi:type="dcterms:W3CDTF">2021-12-17T15:12:46Z</dcterms:created>
  <dcterms:modified xsi:type="dcterms:W3CDTF">2022-02-22T18:58:09Z</dcterms:modified>
</cp:coreProperties>
</file>