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inr\Desktop\Github\Crypto-Reporting-main\To Add\"/>
    </mc:Choice>
  </mc:AlternateContent>
  <xr:revisionPtr revIDLastSave="0" documentId="13_ncr:1_{2166DD02-8634-4A97-9AFB-6218A25359AD}" xr6:coauthVersionLast="47" xr6:coauthVersionMax="47" xr10:uidLastSave="{00000000-0000-0000-0000-000000000000}"/>
  <bookViews>
    <workbookView xWindow="-110" yWindow="-110" windowWidth="19420" windowHeight="10420" tabRatio="728" firstSheet="5" activeTab="13" xr2:uid="{30F37766-858E-45EA-821E-E470146EE14F}"/>
  </bookViews>
  <sheets>
    <sheet name="Transaction" sheetId="1" r:id="rId1"/>
    <sheet name="Control Center" sheetId="7" r:id="rId2"/>
    <sheet name="Sales_Summary" sheetId="1175" r:id="rId3"/>
    <sheet name="Portfolio_Summary" sheetId="1174" r:id="rId4"/>
    <sheet name="VET_txn" sheetId="1173" r:id="rId5"/>
    <sheet name="MATIC_txn" sheetId="1172" r:id="rId6"/>
    <sheet name="CTSI_txn" sheetId="1171" r:id="rId7"/>
    <sheet name="ETH_txn" sheetId="1170" r:id="rId8"/>
    <sheet name="HNT_txn" sheetId="1169" r:id="rId9"/>
    <sheet name="BNB_txn" sheetId="1168" r:id="rId10"/>
    <sheet name="DOGE_txn" sheetId="1167" r:id="rId11"/>
    <sheet name="BTC_txn" sheetId="1166" r:id="rId12"/>
    <sheet name="USDC_txn" sheetId="1163" r:id="rId13"/>
    <sheet name="CAKE_txn" sheetId="1162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L1" authorId="0" shapeId="0" xr:uid="{2C8BFAE2-0E49-4999-8A24-C38CF3EFB318}">
      <text>
        <r>
          <rPr>
            <sz val="10"/>
            <color rgb="FF000000"/>
            <rFont val="Arial"/>
            <family val="2"/>
          </rPr>
          <t>e.g. 
default (1.0)
1 to 4 = 4
2 to 1 = 0.5
 --kyith.place Sat Apr 30 2011 20:51:08 GMT+0800 (Malay Peninsula Standard Time)</t>
        </r>
      </text>
    </comment>
    <comment ref="N1" authorId="0" shapeId="0" xr:uid="{EEDB0AFA-F56E-42B7-B708-5C4F97D155AC}">
      <text>
        <r>
          <rPr>
            <sz val="10"/>
            <color rgb="FF000000"/>
            <rFont val="Arial"/>
            <family val="2"/>
          </rPr>
          <t>Total units accumulated for this stock. 
Buy transactions add to this figure
Div transactions does nothing to this figure
Sell transactions minus from this figure
Default first row 2 formula: 
copy and paste this formula and propagate downwards should formula goes haywire:
=arrayformula(sumproduct(($C$2:$C2=C2)*($B$2:$B2="Buy")*($D$2:$D2))-sumproduct(($C$2:$C2=C2)*($B$2:$B2="Sell")*($D$2:$D2)))
Explanation: Sum all buy previous transactions and deduct the sum of all previous sell transactions
 --kyith.place Sun Apr 24 2011 08:48:52 GMT+0800 (Malay Peninsula Standard Time)</t>
        </r>
      </text>
    </comment>
  </commentList>
</comments>
</file>

<file path=xl/sharedStrings.xml><?xml version="1.0" encoding="utf-8"?>
<sst xmlns="http://schemas.openxmlformats.org/spreadsheetml/2006/main" count="960" uniqueCount="73">
  <si>
    <t>Notes</t>
  </si>
  <si>
    <t>Date (UTC)</t>
  </si>
  <si>
    <t>Type</t>
  </si>
  <si>
    <t>Ticker</t>
  </si>
  <si>
    <t>Transacted Units</t>
  </si>
  <si>
    <t>Transacted Price (per unit)</t>
  </si>
  <si>
    <t>USD Fees</t>
  </si>
  <si>
    <t>Stock Split Ratio</t>
  </si>
  <si>
    <t>Buy</t>
  </si>
  <si>
    <t>No</t>
  </si>
  <si>
    <t>N/A</t>
  </si>
  <si>
    <t>Binance.us</t>
  </si>
  <si>
    <t>BNB</t>
  </si>
  <si>
    <t>Sell</t>
  </si>
  <si>
    <t>HNT</t>
  </si>
  <si>
    <t>Robinhood</t>
  </si>
  <si>
    <t>DOGE</t>
  </si>
  <si>
    <t>BTC</t>
  </si>
  <si>
    <t>ETH</t>
  </si>
  <si>
    <t>Coinbase</t>
  </si>
  <si>
    <t>CTSI</t>
  </si>
  <si>
    <t>VET</t>
  </si>
  <si>
    <t>MATIC</t>
  </si>
  <si>
    <t>Fee</t>
  </si>
  <si>
    <t>Trust Wallet/BEP20</t>
  </si>
  <si>
    <t>Transacted Value
(Txn Units * Price)</t>
  </si>
  <si>
    <t>Cumulative Units
Units Owned Including Txn</t>
  </si>
  <si>
    <t>Coins Gained</t>
  </si>
  <si>
    <t>Value Gained</t>
  </si>
  <si>
    <t>Price Sold At</t>
  </si>
  <si>
    <t>Realized Gain/Loss</t>
  </si>
  <si>
    <t>Sale Number</t>
  </si>
  <si>
    <t>Total Sale Gain</t>
  </si>
  <si>
    <t>Total Sale Loss</t>
  </si>
  <si>
    <t>Gain:</t>
  </si>
  <si>
    <t>Loss:</t>
  </si>
  <si>
    <t>Sale Number:</t>
  </si>
  <si>
    <t>Date of Sale</t>
  </si>
  <si>
    <t>% Gain Above 1 Year</t>
  </si>
  <si>
    <t>% Loss Above 1 Year</t>
  </si>
  <si>
    <t>&gt;1 Year?</t>
  </si>
  <si>
    <t>Coins Sold (#)</t>
  </si>
  <si>
    <t>Year</t>
  </si>
  <si>
    <t>Income</t>
  </si>
  <si>
    <t>Income Earned</t>
  </si>
  <si>
    <t>Coins Total</t>
  </si>
  <si>
    <t>Sell Price:</t>
  </si>
  <si>
    <t>Short Gain</t>
  </si>
  <si>
    <t>Long Gain</t>
  </si>
  <si>
    <t>Long Loss</t>
  </si>
  <si>
    <t>Price/Coin</t>
  </si>
  <si>
    <t>Short Loss</t>
  </si>
  <si>
    <t>Buy or Income</t>
  </si>
  <si>
    <t>Txn Data</t>
  </si>
  <si>
    <t>Sale Data</t>
  </si>
  <si>
    <t>Coin</t>
  </si>
  <si>
    <t>Mined/Staked Income</t>
  </si>
  <si>
    <t>Transaction Item #</t>
  </si>
  <si>
    <t>If Independent Fee, Whats the Fee For?</t>
  </si>
  <si>
    <t>Brokerage of Transaction</t>
  </si>
  <si>
    <t>Trading Fee - Buy</t>
  </si>
  <si>
    <t>Trading Fee - Sell</t>
  </si>
  <si>
    <t>Binance Withdrawal</t>
  </si>
  <si>
    <t>Conversion to BNB to BNB Smart Chain (identical comodity; non-taxable)</t>
  </si>
  <si>
    <t>Realized Gain Loss</t>
  </si>
  <si>
    <t>Holdings by EOY</t>
  </si>
  <si>
    <t>Date of Buy/Income</t>
  </si>
  <si>
    <t>Previous Units
(Units Owned Before Txn)</t>
  </si>
  <si>
    <t>Cost Basis of Sale</t>
  </si>
  <si>
    <t>Value of Sale</t>
  </si>
  <si>
    <t>Cost Basis of Total Sale</t>
  </si>
  <si>
    <t>Value of Total Sale</t>
  </si>
  <si>
    <t>Realized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</si>
</sst>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\$#,##0.00"/>
    <numFmt numFmtId="165" formatCode="0.0000000"/>
    <numFmt numFmtId="166" formatCode="0.000"/>
    <numFmt numFmtId="167" formatCode="mm/dd/yyyy"/>
    <numFmt numFmtId="168" formatCode="#####.#####"/>
    <numFmt numFmtId="169" formatCode="#####.######"/>
    <numFmt numFmtId="170" formatCode="####.###"/>
  </numFmts>
  <fonts count="5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300"/>
        <bgColor rgb="FF003300"/>
      </patternFill>
    </fill>
    <fill>
      <patternFill patternType="solid">
        <fgColor rgb="FF643200"/>
        <bgColor indexed="64"/>
      </patternFill>
    </fill>
    <fill>
      <patternFill patternType="solid">
        <fgColor rgb="FF0033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">
    <xf numFmtId="0" fontId="0" fillId="0" borderId="0" xfId="0"/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7" fontId="0" fillId="0" borderId="0" xfId="0" applyNumberFormat="1" applyAlignment="1">
      <alignment horizontal="right"/>
    </xf>
    <xf numFmtId="7" fontId="0" fillId="0" borderId="0" xfId="0" applyNumberFormat="1"/>
    <xf numFmtId="22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0" fontId="0" fillId="3" borderId="0" xfId="0" applyFill="1" applyAlignment="1">
      <alignment wrapText="1"/>
    </xf>
    <xf numFmtId="0" fontId="1" fillId="4" borderId="3" xfId="0" applyFont="1" applyFill="1" applyBorder="1" applyAlignment="1">
      <alignment horizontal="center" vertical="center" wrapText="1"/>
    </xf>
    <xf numFmtId="170" fontId="0" fillId="0" borderId="0" xfId="0" applyNumberFormat="1" applyAlignment="1">
      <alignment horizontal="right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22" fontId="0" fillId="0" borderId="0" xfId="0" applyNumberFormat="1"/>
  </cellXfs>
  <cellStyles count="2">
    <cellStyle name="Currency" xfId="1" builtinId="4"/>
    <cellStyle name="Normal" xfId="0" builtinId="0"/>
  </cellStyles>
  <dxfs count="372"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6" formatCode="0.000"/>
      <alignment horizontal="center" vertical="center" textRotation="0" wrapText="1" indent="0" justifyLastLine="0" shrinkToFit="0" readingOrder="0"/>
    </dxf>
    <dxf>
      <numFmt numFmtId="166" formatCode="0.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6" formatCode="0.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6</xdr:row>
          <xdr:rowOff>38100</xdr:rowOff>
        </xdr:from>
        <xdr:to>
          <xdr:col>5</xdr:col>
          <xdr:colOff>406400</xdr:colOff>
          <xdr:row>8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Portfolio Tracker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7CA61622-FEFB-4DF9-AB78-5206768C0855}" name="Transaction_tbl" displayName="Transaction_tbl" ref="A1:N26" totalsRowShown="0">
  <autoFilter ref="A1:N26" xr:uid="{7CA61622-FEFB-4DF9-AB78-5206768C0855}"/>
  <sortState xmlns:xlrd2="http://schemas.microsoft.com/office/spreadsheetml/2017/richdata2" ref="A2:N26">
    <sortCondition ref="C1:C26"/>
  </sortState>
  <tableColumns count="14">
    <tableColumn id="1" xr3:uid="{32E55CBE-35C4-4993-B71D-068F91B2CE5B}" name="Notes" dataDxfId="371"/>
    <tableColumn id="2" xr3:uid="{485EAD01-6068-4D75-BC39-9D3F909FF291}" name="Transaction Item #" dataDxfId="370"/>
    <tableColumn id="3" xr3:uid="{DF031323-263B-4877-A798-55CD73CB675A}" name="Date (UTC)" dataDxfId="369"/>
    <tableColumn id="4" xr3:uid="{F0097680-2A78-4C12-8A94-9F829F7B606C}" name="Type" dataDxfId="368"/>
    <tableColumn id="5" xr3:uid="{B0BB1F20-6AC5-4B22-A7EE-A30DBBB3F321}" name="If Independent Fee, Whats the Fee For?" dataDxfId="367"/>
    <tableColumn id="6" xr3:uid="{937E3EBA-2508-4465-98F2-93232FE807FD}" name="Brokerage of Transaction" dataDxfId="366"/>
    <tableColumn id="7" xr3:uid="{F03332C5-5D0F-499E-BF71-B71C2222A32F}" name="Ticker" dataDxfId="365"/>
    <tableColumn id="8" xr3:uid="{2BD7ABA8-5EE5-497E-A9C2-2493783E5FD4}" name="Transacted Units" dataDxfId="364"/>
    <tableColumn id="9" xr3:uid="{D10EDB35-9D94-4D10-B9A9-E7F20E30FD91}" name="Transacted Price (per unit)" dataDxfId="363" dataCellStyle="Currency"/>
    <tableColumn id="15" xr3:uid="{F4AFF7B4-0B96-4676-B872-0D682E99E5C9}" name="Transacted Value_x000a__x000a_(Txn Units * Price)" dataDxfId="362" dataCellStyle="Currency"/>
    <tableColumn id="10" xr3:uid="{880A9EA8-92BF-43A2-A8CB-05154898407D}" name="USD Fees" dataDxfId="361" dataCellStyle="Currency"/>
    <tableColumn id="11" xr3:uid="{FC138824-915B-4CAA-BE0A-658FCE39366B}" name="Stock Split Ratio" dataDxfId="360"/>
    <tableColumn id="12" xr3:uid="{8FBE05F5-D408-42C2-B1A3-8FDCDBB7FAB6}" name="Previous Units_x000a_(Units Owned Before Txn)" dataDxfId="359"/>
    <tableColumn id="13" xr3:uid="{3775567A-2AC6-4A8F-BD8D-9935C2E29141}" name="Cumulative Units_x000a__x000a_Units Owned Including Txn" dataDxfId="3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FCC9E20-0E89-478C-BA3F-18D22FD065C0}" name="2020_sales_tbl" displayName="_2020_sales_tbl" ref="A2:K4" totalsRowShown="0" dataDxfId="357">
  <autoFilter ref="A2:K4" xr:uid="{8FCC9E20-0E89-478C-BA3F-18D22FD065C0}"/>
  <tableColumns count="11">
    <tableColumn id="1" xr3:uid="{D153B37C-4038-484B-B0BD-D5287AB494F7}" name="Ticker" dataDxfId="356"/>
    <tableColumn id="2" xr3:uid="{FBC628E8-65F9-4FBF-8C62-5A1096AC0F0F}" name="Date of Sale" dataDxfId="355"/>
    <tableColumn id="3" xr3:uid="{22F06499-DA69-4E00-881B-93B54A61A27C}" name="Coins Sold (#)" dataDxfId="354"/>
    <tableColumn id="4" xr3:uid="{DEC95980-798D-4D6B-92E7-B44ACB90CB7C}" name="Sell Price:" dataDxfId="353"/>
    <tableColumn id="5" xr3:uid="{0EC3E0D3-4E9A-4D7D-94C9-B5EDD12C8002}" name="Cost Basis of Sale" dataDxfId="352"/>
    <tableColumn id="6" xr3:uid="{1030EDBE-9F70-488E-9CD0-2C6E92664A7A}" name="Value of Sale" dataDxfId="351"/>
    <tableColumn id="7" xr3:uid="{1378AC99-610E-40EE-AA43-08700A15D280}" name="Gain:" dataDxfId="350"/>
    <tableColumn id="8" xr3:uid="{F915A482-1DEC-48AA-8A68-CA23A1A9B639}" name="% Gain Above 1 Year" dataDxfId="349"/>
    <tableColumn id="9" xr3:uid="{4F777F5E-24E0-4A27-A0AC-57D6FCF5B2E7}" name="Loss:" dataDxfId="348"/>
    <tableColumn id="10" xr3:uid="{67886DFB-21D0-4FE9-8106-09D49221BECD}" name="% Loss Above 1 Year" dataDxfId="347"/>
    <tableColumn id="11" xr3:uid="{DAB4A959-C669-4F1F-9ED7-63F646C95E54}" name="Realized Value" dataDxfId="3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1AAA6A0-F61C-4B88-A907-F6501D41E89F}" name="2021_sales_tbl" displayName="_2021_sales_tbl" ref="M2:W14" totalsRowShown="0" dataDxfId="345">
  <autoFilter ref="M2:W14" xr:uid="{31AAA6A0-F61C-4B88-A907-F6501D41E89F}"/>
  <tableColumns count="11">
    <tableColumn id="1" xr3:uid="{9022E732-A080-452E-9242-24BD5DBA899E}" name="Ticker" dataDxfId="344"/>
    <tableColumn id="2" xr3:uid="{3780A891-FF80-4BF6-B3A5-ADC27F2F31DD}" name="Date of Sale" dataDxfId="343"/>
    <tableColumn id="3" xr3:uid="{D08CE75D-8D30-46C1-806F-88DC3A02EDA2}" name="Coins Sold (#)" dataDxfId="342"/>
    <tableColumn id="4" xr3:uid="{E9ACAFCC-9C80-4ECF-B1A3-1BFE9939EEC2}" name="Sell Price:" dataDxfId="341"/>
    <tableColumn id="5" xr3:uid="{6D6B3149-028E-4F40-B6CF-93328C50C4A6}" name="Cost Basis of Sale" dataDxfId="340"/>
    <tableColumn id="6" xr3:uid="{90C75C9C-8B54-436B-A834-11C43B28258C}" name="Value of Sale" dataDxfId="339"/>
    <tableColumn id="7" xr3:uid="{EFB1AF96-567B-4E30-9006-7C815A5A5648}" name="Gain:" dataDxfId="338"/>
    <tableColumn id="8" xr3:uid="{02B3A0FF-AAC5-4C0A-8B40-DB6EA3701185}" name="% Gain Above 1 Year" dataDxfId="337"/>
    <tableColumn id="9" xr3:uid="{D5C55EDF-DD35-4652-83D1-A28B603A93BF}" name="Loss:" dataDxfId="336"/>
    <tableColumn id="10" xr3:uid="{0397E949-169A-49F0-868B-AF3923CE7EF6}" name="% Loss Above 1 Year" dataDxfId="335"/>
    <tableColumn id="11" xr3:uid="{6CDC4888-C41E-445E-9032-B7A3CB191380}" name="Realized Value" dataDxfId="3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C5FE90A-B459-41ED-88C5-8A875B874FBD}" name="2020_tbl" displayName="_2020_tbl" ref="A2:H10" totalsRowShown="0" dataDxfId="333">
  <autoFilter ref="A2:H10" xr:uid="{6C5FE90A-B459-41ED-88C5-8A875B874FBD}"/>
  <tableColumns count="8">
    <tableColumn id="1" xr3:uid="{17BABB18-04E2-43B0-92B6-A0AFCAE9D908}" name="Coin" dataDxfId="332"/>
    <tableColumn id="2" xr3:uid="{0AA84705-9A3A-4AAF-8E47-D968EB578786}" name="Mined/Staked Income" dataDxfId="331"/>
    <tableColumn id="3" xr3:uid="{DF1113AE-66E0-48E2-BF08-AB9A1836ADE5}" name="Long Gain" dataDxfId="330"/>
    <tableColumn id="4" xr3:uid="{4EF1308C-9775-4835-9998-41D4F8640620}" name="Long Loss" dataDxfId="329"/>
    <tableColumn id="5" xr3:uid="{547BC3AA-9059-4C35-8CEC-37820347BE06}" name="Short Gain" dataDxfId="328"/>
    <tableColumn id="6" xr3:uid="{B71AC4A1-8265-4A98-9295-5B1D364219F9}" name="Short Loss" dataDxfId="327"/>
    <tableColumn id="7" xr3:uid="{36A03262-A21E-4E74-B52F-8984DBD46180}" name="Realized Gain Loss" dataDxfId="326"/>
    <tableColumn id="8" xr3:uid="{E4249BAA-B771-4C4A-8CEF-5EE2FC681CD3}" name="Holdings by EOY" dataDxfId="3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8527D6C-12A4-4CA9-A6A6-7AD3321C17E6}" name="2021_tbl" displayName="_2021_tbl" ref="J2:Q10" totalsRowShown="0" dataDxfId="324">
  <autoFilter ref="J2:Q10" xr:uid="{48527D6C-12A4-4CA9-A6A6-7AD3321C17E6}"/>
  <tableColumns count="8">
    <tableColumn id="1" xr3:uid="{7DBAB2DA-A012-4753-AA05-108B8088AD83}" name="Coin" dataDxfId="323"/>
    <tableColumn id="2" xr3:uid="{322D3D95-E745-4323-AF6B-68AB2FF901DB}" name="Mined/Staked Income" dataDxfId="322"/>
    <tableColumn id="3" xr3:uid="{8E28096B-2708-4D9A-AA30-5C7F56602244}" name="Long Gain" dataDxfId="321"/>
    <tableColumn id="4" xr3:uid="{EE2E7994-DA64-46A0-8043-48C13A275747}" name="Long Loss" dataDxfId="320"/>
    <tableColumn id="5" xr3:uid="{CB7DC91B-F80F-4162-9B65-03C68461E755}" name="Short Gain" dataDxfId="319"/>
    <tableColumn id="6" xr3:uid="{1B1C0F09-5DD9-416B-AFF4-C0709E1DD1B8}" name="Short Loss" dataDxfId="318"/>
    <tableColumn id="7" xr3:uid="{CEB69FA1-AF22-4C9B-8DB4-618EA33666A8}" name="Realized Gain Loss" dataDxfId="317"/>
    <tableColumn id="8" xr3:uid="{5F59ABE0-9C57-44DA-8D32-6BC1E741ADE9}" name="Holdings by EOY" dataDxfId="3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1F7380E-9F50-430A-876A-DB9227475718}" name="vet_income_txn" displayName="vet_income_txn" ref="A4:Q5" totalsRowShown="0" headerRowDxfId="315">
  <autoFilter ref="A4:Q5" xr:uid="{A1F7380E-9F50-430A-876A-DB9227475718}"/>
  <tableColumns count="17">
    <tableColumn id="1" xr3:uid="{C3253E41-AE5C-4AF5-A6D2-FB01BE7F50AC}" name="Date of Buy/Income"/>
    <tableColumn id="2" xr3:uid="{69FE3B6E-97F0-4ADD-AD2B-DBA30024D1C2}" name="Buy or Income"/>
    <tableColumn id="3" xr3:uid="{9A9AD177-4659-4079-9068-F10568FF0F40}" name="Price/Coin"/>
    <tableColumn id="4" xr3:uid="{A676DE46-128A-4FD8-B0F6-70F4F4E2C57D}" name="Coins Gained"/>
    <tableColumn id="5" xr3:uid="{C51FBCE2-1609-488B-925A-75C8B28E0DF0}" name="Value Gained"/>
    <tableColumn id="6" xr3:uid="{01770EF2-8C43-4DE2-B9D1-6A3295941CC0}" name="Coins Sold (#)"/>
    <tableColumn id="7" xr3:uid="{1CCBD5F0-C697-472F-AFB2-1425CF117EF5}" name="Price Sold At"/>
    <tableColumn id="8" xr3:uid="{85A1996A-69CF-4672-9799-8FF2375E1FE1}" name="Realized Gain/Loss"/>
    <tableColumn id="9" xr3:uid="{A87632DF-0601-4E64-9E14-C89543E3070B}" name="Sale Number"/>
    <tableColumn id="10" xr3:uid="{D42E5FAB-5C4C-43D6-AFAB-1E6B24B549E9}" name="Date of Sale"/>
    <tableColumn id="11" xr3:uid="{3075AF36-D8DF-4039-967E-17CE2CE0C143}" name="Cost Basis of Total Sale"/>
    <tableColumn id="12" xr3:uid="{AFCB5BA3-122B-4DD6-ABE5-B2B2B0D6168E}" name="Value of Total Sale"/>
    <tableColumn id="13" xr3:uid="{9472D46E-763D-40E0-8BBC-8ACA24A26130}" name="&gt;1 Year?"/>
    <tableColumn id="14" xr3:uid="{76ED2E0F-19CC-48A9-AB8F-2ADC946B7563}" name="Total Sale Gain"/>
    <tableColumn id="15" xr3:uid="{1C860781-B251-449F-B106-9289C8257EE2}" name="% Gain Above 1 Year"/>
    <tableColumn id="16" xr3:uid="{5B744E60-4692-4A69-8797-4F99A5C23151}" name="Total Sale Loss"/>
    <tableColumn id="17" xr3:uid="{1B4ABB6B-6A03-431B-8908-CFDF692F55D6}" name="% Loss Above 1 Yea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EE4D83C-0530-4E0B-B018-E35C59DE4485}" name="vet_summary_tbl_txn" displayName="vet_summary_tbl_txn" ref="T4:AC5" totalsRowShown="0" headerRowDxfId="314" dataDxfId="313">
  <autoFilter ref="T4:AC5" xr:uid="{EEE4D83C-0530-4E0B-B018-E35C59DE4485}"/>
  <tableColumns count="10">
    <tableColumn id="1" xr3:uid="{F099F316-D3A4-4EE1-BBEA-BDE47F0C9A32}" name="Sale Number:" dataDxfId="312"/>
    <tableColumn id="2" xr3:uid="{1257E2A6-D787-47CE-8C28-993C47B6D1E2}" name="Date of Sale" dataDxfId="311"/>
    <tableColumn id="3" xr3:uid="{35A73175-14DB-4254-B1E9-167974A89B7A}" name="Coins Sold (#)" dataDxfId="310"/>
    <tableColumn id="4" xr3:uid="{D82123B8-8448-40D8-ACE1-FB1EEEA0E40D}" name="Sell Price:" dataDxfId="309"/>
    <tableColumn id="5" xr3:uid="{3207422B-18A4-4573-B908-19F004CF1EB6}" name="Cost Basis of Sale" dataDxfId="308"/>
    <tableColumn id="6" xr3:uid="{C2610F70-50AF-4F4C-A038-50C6AA3ADE68}" name="Value of Sale" dataDxfId="307"/>
    <tableColumn id="7" xr3:uid="{2368D5C7-931D-408C-AE03-16A537240217}" name="Gain:" dataDxfId="306"/>
    <tableColumn id="8" xr3:uid="{F19F5CFD-073A-40EF-8D49-0697A30A53AF}" name="% Gain Above 1 Year" dataDxfId="305"/>
    <tableColumn id="9" xr3:uid="{A2666415-1C3A-4A6A-A681-CDF7C74133DB}" name="Loss:" dataDxfId="304"/>
    <tableColumn id="10" xr3:uid="{9EBE7D6F-EE70-42D1-9820-23CDC3659A9E}" name="% Loss Above 1 Year" dataDxfId="30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A1DA52E-1031-464F-8818-9C5EF115DCB3}" name="vet_yearly_income_txn" displayName="vet_yearly_income_txn" ref="AE4:AG6" totalsRowShown="0" headerRowDxfId="302" dataDxfId="301">
  <autoFilter ref="AE4:AG6" xr:uid="{EA1DA52E-1031-464F-8818-9C5EF115DCB3}"/>
  <tableColumns count="3">
    <tableColumn id="1" xr3:uid="{A472C615-08CD-4428-992D-3299C1C914D2}" name="Year" dataDxfId="300"/>
    <tableColumn id="2" xr3:uid="{B70C9EF8-9271-467A-8BC6-C6D199DC4F2B}" name="Coins Total" dataDxfId="299"/>
    <tableColumn id="3" xr3:uid="{9E680A84-043A-4A47-8DA8-1D2F24E54197}" name="Income Earned" dataDxfId="29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DF7CA48-3435-4D3D-A7F7-0FD07CCA2447}" name="vet_year_sum_tbl_txn" displayName="vet_year_sum_tbl_txn" ref="AI4:AN5" totalsRowShown="0" headerRowDxfId="297">
  <autoFilter ref="AI4:AN5" xr:uid="{DDF7CA48-3435-4D3D-A7F7-0FD07CCA2447}"/>
  <tableColumns count="6">
    <tableColumn id="1" xr3:uid="{E453F1BB-5CA4-401E-9CDE-581F4A88204F}" name="Year"/>
    <tableColumn id="2" xr3:uid="{1041EC7C-5BFF-4D95-BA04-AA3A0F87818F}" name="Income"/>
    <tableColumn id="3" xr3:uid="{52B2317F-3AE6-45D3-8407-2A1749AEB977}" name="Short Gain"/>
    <tableColumn id="4" xr3:uid="{EBE3F895-87B1-4199-B0CA-380D0F5F356A}" name="Long Gain"/>
    <tableColumn id="5" xr3:uid="{2C2B841E-0A70-448E-A397-F94772514982}" name="Short Loss"/>
    <tableColumn id="6" xr3:uid="{3FEDB805-7753-4974-91BC-EA992D9D0833}" name="Long Los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3D07591-9398-48EC-9E65-606E22FA852A}" name="matic_income_txn" displayName="matic_income_txn" ref="A4:Q6" totalsRowShown="0" headerRowDxfId="296" dataDxfId="295">
  <autoFilter ref="A4:Q6" xr:uid="{93D07591-9398-48EC-9E65-606E22FA852A}"/>
  <tableColumns count="17">
    <tableColumn id="1" xr3:uid="{3A6DB825-45C2-43BA-A8AD-B66B647EA30A}" name="Date of Buy/Income" dataDxfId="294"/>
    <tableColumn id="2" xr3:uid="{9DAEC4D7-5659-4877-BBF5-882194DE018D}" name="Buy or Income" dataDxfId="293"/>
    <tableColumn id="3" xr3:uid="{A76107CB-506D-4066-A956-73D1A33D06AF}" name="Price/Coin" dataDxfId="292"/>
    <tableColumn id="4" xr3:uid="{7CF38B23-2060-4654-BB62-AE5777E4778F}" name="Coins Gained" dataDxfId="291"/>
    <tableColumn id="5" xr3:uid="{E4BA8F17-69FA-4502-B3D2-906867713357}" name="Value Gained" dataDxfId="290"/>
    <tableColumn id="6" xr3:uid="{1A6A5AE3-0B8D-47FB-A394-D9F0BE499BB0}" name="Coins Sold (#)" dataDxfId="289"/>
    <tableColumn id="7" xr3:uid="{1D5ED622-70FE-42B6-A212-BBC7370CD664}" name="Price Sold At" dataDxfId="288"/>
    <tableColumn id="8" xr3:uid="{DC21F5B3-D410-4158-A207-60E99FE02585}" name="Realized Gain/Loss" dataDxfId="287"/>
    <tableColumn id="9" xr3:uid="{E61E2128-9128-4228-8155-8F8C13BBCBB1}" name="Sale Number" dataDxfId="286"/>
    <tableColumn id="10" xr3:uid="{55FC9C2F-58D4-4D28-A4AF-A0236AE6AFA0}" name="Date of Sale" dataDxfId="285"/>
    <tableColumn id="11" xr3:uid="{DB5862F1-FC8E-4FDF-A80E-B1BC62170E44}" name="Cost Basis of Total Sale" dataDxfId="284"/>
    <tableColumn id="12" xr3:uid="{ADA925B2-EEDA-4F54-AFAE-92367DA92699}" name="Value of Total Sale" dataDxfId="283"/>
    <tableColumn id="13" xr3:uid="{D9AC87C6-B4E7-4953-B979-806D4DB51320}" name="&gt;1 Year?" dataDxfId="282"/>
    <tableColumn id="14" xr3:uid="{ECF97B96-E951-48BA-9F3F-8D3411D28A34}" name="Total Sale Gain" dataDxfId="281"/>
    <tableColumn id="15" xr3:uid="{BD7BB450-7C61-45A5-9F47-2C2FAFE567C9}" name="% Gain Above 1 Year" dataDxfId="280"/>
    <tableColumn id="16" xr3:uid="{B3A4B35F-528F-46E6-84D5-185117A9BD5D}" name="Total Sale Loss" dataDxfId="279"/>
    <tableColumn id="17" xr3:uid="{7398278F-8211-4958-A997-C563E94A8565}" name="% Loss Above 1 Year" dataDxfId="27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3BE2273-804E-4951-9589-2AE342AB50CA}" name="matic_summary_tbl_txn" displayName="matic_summary_tbl_txn" ref="T4:AC6" totalsRowShown="0" headerRowDxfId="277" dataDxfId="276">
  <autoFilter ref="T4:AC6" xr:uid="{93BE2273-804E-4951-9589-2AE342AB50CA}"/>
  <tableColumns count="10">
    <tableColumn id="1" xr3:uid="{F348AE93-1A38-4FB5-A926-AFF75FC1C7B8}" name="Sale Number:" dataDxfId="275"/>
    <tableColumn id="2" xr3:uid="{B534E7A4-61B8-4D24-B7B5-E67C187E3A20}" name="Date of Sale" dataDxfId="274"/>
    <tableColumn id="3" xr3:uid="{AACB7804-F4FA-4D24-A035-788E92B77BD4}" name="Coins Sold (#)" dataDxfId="273"/>
    <tableColumn id="4" xr3:uid="{C3D23FC8-E8BB-4C03-A30F-0525BE5443BD}" name="Sell Price:" dataDxfId="272"/>
    <tableColumn id="5" xr3:uid="{94380D84-0863-4508-86E4-E84F84010955}" name="Cost Basis of Sale" dataDxfId="271"/>
    <tableColumn id="6" xr3:uid="{3B2723C7-DD69-4656-8B05-2F7CC5C725A4}" name="Value of Sale" dataDxfId="270"/>
    <tableColumn id="7" xr3:uid="{33ED8941-9CAE-4BFF-8556-0D34EB0CFFD9}" name="Gain:" dataDxfId="269"/>
    <tableColumn id="8" xr3:uid="{C9526054-971F-42BB-BC8A-BAD47CE5ED9F}" name="% Gain Above 1 Year" dataDxfId="268"/>
    <tableColumn id="9" xr3:uid="{5C944E02-338A-44EA-A491-EF2161A42183}" name="Loss:" dataDxfId="267"/>
    <tableColumn id="10" xr3:uid="{3DBFB2A0-590F-4310-ADA5-E73F66B171D5}" name="% Loss Above 1 Year" dataDxfId="26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6C4EFBC-97FF-4204-8403-A32C2E291ED5}" name="matic_yearly_income_txn" displayName="matic_yearly_income_txn" ref="AE4:AG6" totalsRowShown="0" headerRowDxfId="265" dataDxfId="264">
  <autoFilter ref="AE4:AG6" xr:uid="{B6C4EFBC-97FF-4204-8403-A32C2E291ED5}"/>
  <tableColumns count="3">
    <tableColumn id="1" xr3:uid="{2CEB42F5-B667-43AA-AFAF-AC887012E931}" name="Year" dataDxfId="263"/>
    <tableColumn id="2" xr3:uid="{66BE1A66-A7DC-4E89-96E1-3007A95D706A}" name="Coins Total" dataDxfId="262"/>
    <tableColumn id="3" xr3:uid="{BB7C3890-B577-4653-8651-E2B3B1B22F0F}" name="Income Earned" dataDxfId="26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F9193C0-7047-4B73-A1E5-6BCC578525CE}" name="matic_year_sum_tbl_txn" displayName="matic_year_sum_tbl_txn" ref="AI4:AN5" totalsRowShown="0" headerRowDxfId="260">
  <autoFilter ref="AI4:AN5" xr:uid="{6F9193C0-7047-4B73-A1E5-6BCC578525CE}"/>
  <tableColumns count="6">
    <tableColumn id="1" xr3:uid="{6D53218C-CFC0-4E27-8FD4-FE36366A06E7}" name="Year"/>
    <tableColumn id="2" xr3:uid="{B3BCF910-0BB4-4C55-89C0-57EAF97E1C2F}" name="Income"/>
    <tableColumn id="3" xr3:uid="{23B153C6-D4BA-49E1-AD6D-BCF1A0DBF290}" name="Short Gain"/>
    <tableColumn id="4" xr3:uid="{BE28A7CC-5542-41C9-A5EA-84004497EF70}" name="Long Gain"/>
    <tableColumn id="5" xr3:uid="{EF0B2DA1-0631-4E52-B20C-526712C8AC1B}" name="Short Loss"/>
    <tableColumn id="6" xr3:uid="{BC0E4631-DDA0-4CAD-9F7E-8F61D4BC184B}" name="Long Los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8220B03-C3D8-4F06-9F86-2C5E7E6352DB}" name="ctsi_income_txn" displayName="ctsi_income_txn" ref="A4:Q5" totalsRowShown="0" headerRowDxfId="259">
  <autoFilter ref="A4:Q5" xr:uid="{38220B03-C3D8-4F06-9F86-2C5E7E6352DB}"/>
  <tableColumns count="17">
    <tableColumn id="1" xr3:uid="{F835F8A9-B3DC-4DE5-B736-DAD4F79058CB}" name="Date of Buy/Income"/>
    <tableColumn id="2" xr3:uid="{4006A528-5731-4703-9D6F-EA9EBFBCC990}" name="Buy or Income"/>
    <tableColumn id="3" xr3:uid="{86907C98-8773-4009-9DB7-95E520F5A90C}" name="Price/Coin"/>
    <tableColumn id="4" xr3:uid="{7DBC3E81-2F4A-407E-BE22-EF0450EC97E1}" name="Coins Gained"/>
    <tableColumn id="5" xr3:uid="{3F41846F-CBB6-406C-BBDA-75A072B735E7}" name="Value Gained"/>
    <tableColumn id="6" xr3:uid="{A3EE3BC4-629A-4BDE-BB56-318E92D937D6}" name="Coins Sold (#)"/>
    <tableColumn id="7" xr3:uid="{3AD92FD3-27C3-4CD9-9852-028691109DBF}" name="Price Sold At"/>
    <tableColumn id="8" xr3:uid="{53D8455D-8DFA-43BA-A386-D5597689C946}" name="Realized Gain/Loss"/>
    <tableColumn id="9" xr3:uid="{C9F7F54E-801C-4E54-AEEB-4BF2CC8EF534}" name="Sale Number"/>
    <tableColumn id="10" xr3:uid="{71063D13-0E44-484C-B2DB-2608CABD48AD}" name="Date of Sale"/>
    <tableColumn id="11" xr3:uid="{3ECC7BD5-54FD-4C57-8515-E0833E7B28DF}" name="Cost Basis of Total Sale"/>
    <tableColumn id="12" xr3:uid="{5256ECC4-FFA4-4046-8B7B-99EA776DFF00}" name="Value of Total Sale"/>
    <tableColumn id="13" xr3:uid="{CAD6C101-EC83-4EAA-A2A1-1F3FCF0721FA}" name="&gt;1 Year?"/>
    <tableColumn id="14" xr3:uid="{02D7BB07-51F0-4194-B928-6B74F4B699E6}" name="Total Sale Gain"/>
    <tableColumn id="15" xr3:uid="{27A1DFA4-9FF8-4533-9250-CEFEA1B830CC}" name="% Gain Above 1 Year"/>
    <tableColumn id="16" xr3:uid="{F98235F2-FA2D-43D2-B6D7-8CFBFE5DB899}" name="Total Sale Loss"/>
    <tableColumn id="17" xr3:uid="{8F10824A-B2F4-4C5B-9212-487E8F3AF8C7}" name="% Loss Above 1 Year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938ADEB-9681-4472-81A6-882615808EC3}" name="ctsi_summary_tbl_txn" displayName="ctsi_summary_tbl_txn" ref="T4:AC5" totalsRowShown="0" headerRowDxfId="258" dataDxfId="257">
  <autoFilter ref="T4:AC5" xr:uid="{C938ADEB-9681-4472-81A6-882615808EC3}"/>
  <tableColumns count="10">
    <tableColumn id="1" xr3:uid="{CA7AA4E9-EB26-43BB-9148-B4505C740114}" name="Sale Number:" dataDxfId="256"/>
    <tableColumn id="2" xr3:uid="{A6075C79-33EC-4B56-B770-82D47EC1501D}" name="Date of Sale" dataDxfId="255"/>
    <tableColumn id="3" xr3:uid="{32A9CE57-784A-408F-8B4D-38804D25BC90}" name="Coins Sold (#)" dataDxfId="254"/>
    <tableColumn id="4" xr3:uid="{7B7D5FA3-4EFC-4A09-83F6-EABD0AAB3E4C}" name="Sell Price:" dataDxfId="253"/>
    <tableColumn id="5" xr3:uid="{CAB7F25A-A1E5-47A4-97E5-CFEB5DE92025}" name="Cost Basis of Sale" dataDxfId="252"/>
    <tableColumn id="6" xr3:uid="{85727402-C04A-49E8-8450-E41A716B9093}" name="Value of Sale" dataDxfId="251"/>
    <tableColumn id="7" xr3:uid="{4F61F682-041E-442A-993E-9EA5A8DABA9D}" name="Gain:" dataDxfId="250"/>
    <tableColumn id="8" xr3:uid="{3E06706D-55C4-42DA-8DE6-D67CF7D6D9B7}" name="% Gain Above 1 Year" dataDxfId="249"/>
    <tableColumn id="9" xr3:uid="{7446B40E-D091-4CE4-84DB-D579DDBEE149}" name="Loss:" dataDxfId="248"/>
    <tableColumn id="10" xr3:uid="{0F5AC0BD-2C9A-4984-B64C-5DAA6C70BE3E}" name="% Loss Above 1 Year" dataDxfId="24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A37DAC-1466-4920-8CC4-355CB374DB11}" name="ctsi_yearly_income_txn" displayName="ctsi_yearly_income_txn" ref="AE4:AG6" totalsRowShown="0" headerRowDxfId="246" dataDxfId="245">
  <autoFilter ref="AE4:AG6" xr:uid="{3CA37DAC-1466-4920-8CC4-355CB374DB11}"/>
  <tableColumns count="3">
    <tableColumn id="1" xr3:uid="{EC3E1746-AB03-4758-9F9A-FE8AECF9A915}" name="Year" dataDxfId="244"/>
    <tableColumn id="2" xr3:uid="{644A084F-CEFE-467E-94C9-BB8D7C1CED4E}" name="Coins Total" dataDxfId="243"/>
    <tableColumn id="3" xr3:uid="{C9BF3F18-C291-4119-A03A-6FF9BED29A25}" name="Income Earned" dataDxfId="24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5D405D9-CF42-42ED-AA5C-63776035C4DC}" name="ctsi_year_sum_tbl_txn" displayName="ctsi_year_sum_tbl_txn" ref="AI4:AN5" totalsRowShown="0" headerRowDxfId="241">
  <autoFilter ref="AI4:AN5" xr:uid="{D5D405D9-CF42-42ED-AA5C-63776035C4DC}"/>
  <tableColumns count="6">
    <tableColumn id="1" xr3:uid="{2126C7B7-17CB-4B21-BA71-FD350E77452F}" name="Year"/>
    <tableColumn id="2" xr3:uid="{9C089F92-F9DF-4861-92F7-FA49E83ED0B5}" name="Income"/>
    <tableColumn id="3" xr3:uid="{3AAE8FA6-35BF-44B6-904D-BB3E47875C35}" name="Short Gain"/>
    <tableColumn id="4" xr3:uid="{9256E8FC-1766-4F78-9A37-B9B311482C93}" name="Long Gain"/>
    <tableColumn id="5" xr3:uid="{2BAD45B7-A5E4-4D0A-B43A-24EFBE4603BC}" name="Short Loss"/>
    <tableColumn id="6" xr3:uid="{F653D17D-13BA-452C-904D-E15EE3664482}" name="Long Los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FA47CFA-1759-4611-96E9-A19B1D57808D}" name="eth_income_txn" displayName="eth_income_txn" ref="A4:Q5" totalsRowShown="0" headerRowDxfId="240" dataDxfId="239">
  <autoFilter ref="A4:Q5" xr:uid="{AFA47CFA-1759-4611-96E9-A19B1D57808D}"/>
  <tableColumns count="17">
    <tableColumn id="1" xr3:uid="{9ECD540F-CC9A-4301-9C2A-F1508AF5B068}" name="Date of Buy/Income" dataDxfId="238"/>
    <tableColumn id="2" xr3:uid="{AD6C7457-7435-4D74-BC35-DF68B5C21412}" name="Buy or Income" dataDxfId="237"/>
    <tableColumn id="3" xr3:uid="{07112E79-D612-403E-A0FD-B26D34EE607C}" name="Price/Coin" dataDxfId="236"/>
    <tableColumn id="4" xr3:uid="{31D814EE-1F9E-4CBE-BF8E-EB9450B26C88}" name="Coins Gained" dataDxfId="235"/>
    <tableColumn id="5" xr3:uid="{ACFE567F-7C47-4A70-88F3-7408AA47D6D0}" name="Value Gained" dataDxfId="234"/>
    <tableColumn id="6" xr3:uid="{4E3BCD16-4309-497E-B475-A655CF822630}" name="Coins Sold (#)" dataDxfId="233"/>
    <tableColumn id="7" xr3:uid="{AB2133AB-7233-47D3-9F5C-30D1D05B35B5}" name="Price Sold At" dataDxfId="232"/>
    <tableColumn id="8" xr3:uid="{659E8E22-33BF-4464-B755-50281851347F}" name="Realized Gain/Loss" dataDxfId="231"/>
    <tableColumn id="9" xr3:uid="{6861CB50-AB7C-417D-8CC5-57D6860D2CFC}" name="Sale Number" dataDxfId="230"/>
    <tableColumn id="10" xr3:uid="{8600D357-9883-4F5C-B715-57A3F98DF387}" name="Date of Sale" dataDxfId="229"/>
    <tableColumn id="11" xr3:uid="{00B52695-7F56-4AED-AE95-C91C55A80807}" name="Cost Basis of Total Sale" dataDxfId="228"/>
    <tableColumn id="12" xr3:uid="{3918A832-9C3F-41D9-92EE-2AAB05FAE1D3}" name="Value of Total Sale" dataDxfId="227"/>
    <tableColumn id="13" xr3:uid="{D0877E7D-C38A-41E8-A358-C7AE0D240DC1}" name="&gt;1 Year?" dataDxfId="226"/>
    <tableColumn id="14" xr3:uid="{063D93D8-8F60-4FEB-9851-BAACA171F457}" name="Total Sale Gain" dataDxfId="225"/>
    <tableColumn id="15" xr3:uid="{3BD8AE8F-B324-473C-A7D1-E131216E59FC}" name="% Gain Above 1 Year" dataDxfId="224"/>
    <tableColumn id="16" xr3:uid="{ADB711AE-DE94-4D5E-A7D3-95282C37EB05}" name="Total Sale Loss" dataDxfId="223"/>
    <tableColumn id="17" xr3:uid="{203E09FD-F9EC-4F61-91FB-6362BCA814E5}" name="% Loss Above 1 Year" dataDxfId="22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DC4AE70-A2D6-4D59-87A4-8B1E50A91657}" name="eth_summary_tbl_txn" displayName="eth_summary_tbl_txn" ref="T4:AC5" totalsRowShown="0" headerRowDxfId="221" dataDxfId="220">
  <autoFilter ref="T4:AC5" xr:uid="{9DC4AE70-A2D6-4D59-87A4-8B1E50A91657}"/>
  <tableColumns count="10">
    <tableColumn id="1" xr3:uid="{8C3A3C4D-0F00-4366-A065-5AC6F3CDB69C}" name="Sale Number:" dataDxfId="219"/>
    <tableColumn id="2" xr3:uid="{862A208F-B983-46CB-9F45-1F8C973BEA78}" name="Date of Sale" dataDxfId="218"/>
    <tableColumn id="3" xr3:uid="{9FF220CF-46C5-44D7-9C06-E53045974D2D}" name="Coins Sold (#)" dataDxfId="217"/>
    <tableColumn id="4" xr3:uid="{2080EDEF-AD86-4AF1-B18E-4795EE845EE1}" name="Sell Price:" dataDxfId="216"/>
    <tableColumn id="5" xr3:uid="{554BA4C5-F570-4122-846D-AA66759199E7}" name="Cost Basis of Sale" dataDxfId="215"/>
    <tableColumn id="6" xr3:uid="{DC04AFB7-75AA-4DE9-946A-AA59AB68BE8F}" name="Value of Sale" dataDxfId="214"/>
    <tableColumn id="7" xr3:uid="{4DE4F661-1329-4962-9190-D3A106422DEF}" name="Gain:" dataDxfId="213"/>
    <tableColumn id="8" xr3:uid="{37F02C68-0235-4309-A824-6347A842D630}" name="% Gain Above 1 Year" dataDxfId="212"/>
    <tableColumn id="9" xr3:uid="{4B57B03E-0547-4965-9347-10BFAF3F66C9}" name="Loss:" dataDxfId="211"/>
    <tableColumn id="10" xr3:uid="{61493F5F-152F-4C50-B870-D152E5D9F1C6}" name="% Loss Above 1 Year" dataDxfId="21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71A494E-F0F5-4FFC-8B73-297AF9D4D802}" name="eth_yearly_income_txn" displayName="eth_yearly_income_txn" ref="AE4:AG6" totalsRowShown="0" headerRowDxfId="209" dataDxfId="208">
  <autoFilter ref="AE4:AG6" xr:uid="{571A494E-F0F5-4FFC-8B73-297AF9D4D802}"/>
  <tableColumns count="3">
    <tableColumn id="1" xr3:uid="{51B1117F-E6E1-4E4F-80CE-1E2D66F70747}" name="Year" dataDxfId="207"/>
    <tableColumn id="2" xr3:uid="{2F4C1628-8003-4EE6-899B-A1EB1DD4478A}" name="Coins Total" dataDxfId="206"/>
    <tableColumn id="3" xr3:uid="{C96F257D-8F0E-4B13-81EF-9D1907A7C524}" name="Income Earned" dataDxfId="20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6340374-9F37-4237-879F-845F88710FA2}" name="eth_year_sum_tbl_txn" displayName="eth_year_sum_tbl_txn" ref="AI4:AN5" totalsRowShown="0" headerRowDxfId="204">
  <autoFilter ref="AI4:AN5" xr:uid="{F6340374-9F37-4237-879F-845F88710FA2}"/>
  <tableColumns count="6">
    <tableColumn id="1" xr3:uid="{9E14456B-B46D-40AC-9966-85B2379B416A}" name="Year"/>
    <tableColumn id="2" xr3:uid="{6C2C4832-6343-40C3-BBC2-FD8047C89E34}" name="Income"/>
    <tableColumn id="3" xr3:uid="{7870713E-34B6-4168-812F-A960F3F43630}" name="Short Gain"/>
    <tableColumn id="4" xr3:uid="{05F417E4-6A3B-4EEF-952E-CC2B686702D4}" name="Long Gain"/>
    <tableColumn id="5" xr3:uid="{97740037-918D-453E-AB1F-8B533A7B2B6B}" name="Short Loss"/>
    <tableColumn id="6" xr3:uid="{DBFDFBA4-4661-431B-B25F-19B053C80105}" name="Long Los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7D2E9A-2319-460C-B133-065DE417929B}" name="hnt_income_txn" displayName="hnt_income_txn" ref="A4:Q6" totalsRowShown="0" headerRowDxfId="203">
  <autoFilter ref="A4:Q6" xr:uid="{387D2E9A-2319-460C-B133-065DE417929B}"/>
  <tableColumns count="17">
    <tableColumn id="1" xr3:uid="{18B99B02-6236-4F77-A8DE-4E83EBED72BB}" name="Date of Buy/Income"/>
    <tableColumn id="2" xr3:uid="{E17F75C8-A7CB-4A10-8AAA-77655CE4D3B8}" name="Buy or Income"/>
    <tableColumn id="3" xr3:uid="{3E53A0EE-27DF-4E34-A422-165938B34ED2}" name="Price/Coin"/>
    <tableColumn id="4" xr3:uid="{1D556DD1-1229-4629-89E3-7B8C1148CE6E}" name="Coins Gained"/>
    <tableColumn id="5" xr3:uid="{6A30749E-DFC9-47C8-9385-F14EAE578919}" name="Value Gained"/>
    <tableColumn id="6" xr3:uid="{6FE8061E-1027-4842-A1D3-C99A1DD7093F}" name="Coins Sold (#)"/>
    <tableColumn id="7" xr3:uid="{1C553794-B7D9-4A57-8F66-1C81E9418505}" name="Price Sold At"/>
    <tableColumn id="8" xr3:uid="{53A0E9CB-D90A-4F59-B073-50415A510FFC}" name="Realized Gain/Loss"/>
    <tableColumn id="9" xr3:uid="{A65A733B-F011-4E48-8BBB-D26068E995B3}" name="Sale Number"/>
    <tableColumn id="10" xr3:uid="{042988F0-EC13-4F66-ACDF-7760145BBF41}" name="Date of Sale"/>
    <tableColumn id="11" xr3:uid="{82DF552B-EB63-4ED4-BCA1-2223357D93C3}" name="Cost Basis of Total Sale"/>
    <tableColumn id="12" xr3:uid="{13104A4D-0188-4A41-B51B-0F32B985CE2A}" name="Value of Total Sale"/>
    <tableColumn id="13" xr3:uid="{4363BBD0-C1EC-40FF-BC2F-B68CE9EBBB62}" name="&gt;1 Year?"/>
    <tableColumn id="14" xr3:uid="{4F9C5A87-8DC3-4504-849B-AE124EB4D669}" name="Total Sale Gain"/>
    <tableColumn id="15" xr3:uid="{D4331AFB-1021-48F1-8FAC-A071D3AAAC98}" name="% Gain Above 1 Year"/>
    <tableColumn id="16" xr3:uid="{4D394811-9696-4181-AFDF-2FEF7F0917FA}" name="Total Sale Loss"/>
    <tableColumn id="17" xr3:uid="{15BDFA33-CA82-45C4-9FA5-E4CB0440AB18}" name="% Loss Above 1 Year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9BBF6-21D3-49B2-9842-572196D9D625}" name="hnt_summary_tbl_txn" displayName="hnt_summary_tbl_txn" ref="T4:AC5" totalsRowShown="0" headerRowDxfId="202" dataDxfId="201">
  <autoFilter ref="T4:AC5" xr:uid="{6199BBF6-21D3-49B2-9842-572196D9D625}"/>
  <tableColumns count="10">
    <tableColumn id="1" xr3:uid="{D3F5D5ED-017F-4005-834D-F47F417EFE26}" name="Sale Number:" dataDxfId="200"/>
    <tableColumn id="2" xr3:uid="{EE5B8272-DD3F-44EC-95BC-850E6C596F28}" name="Date of Sale" dataDxfId="199"/>
    <tableColumn id="3" xr3:uid="{B4D31D01-03CE-4624-A9FE-5915705592C4}" name="Coins Sold (#)" dataDxfId="198"/>
    <tableColumn id="4" xr3:uid="{1AF2BD75-3BED-43AF-B4EC-FE6163972EAE}" name="Sell Price:" dataDxfId="197"/>
    <tableColumn id="5" xr3:uid="{E9E24653-8B40-461E-8FEF-F3B32B7C183A}" name="Cost Basis of Sale" dataDxfId="196"/>
    <tableColumn id="6" xr3:uid="{1D3AA05C-B764-45B7-90D4-C37A57B5E9D3}" name="Value of Sale" dataDxfId="195"/>
    <tableColumn id="7" xr3:uid="{CAE43F5A-66F4-4BA4-854B-B94AB699C6C4}" name="Gain:" dataDxfId="194"/>
    <tableColumn id="8" xr3:uid="{08C06C9A-6A63-44F8-A272-845D5383FE35}" name="% Gain Above 1 Year" dataDxfId="193"/>
    <tableColumn id="9" xr3:uid="{8C7D5E45-A3DE-48BD-AC1F-8D0497F2A42F}" name="Loss:" dataDxfId="192"/>
    <tableColumn id="10" xr3:uid="{FB8403BC-B9D0-4F2B-B17A-45E85641ACD6}" name="% Loss Above 1 Year" dataDxfId="19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FEE6DA-F860-453B-9931-1C18302CD4BE}" name="hnt_yearly_income_txn" displayName="hnt_yearly_income_txn" ref="AE4:AG6" totalsRowShown="0" headerRowDxfId="190" dataDxfId="189">
  <autoFilter ref="AE4:AG6" xr:uid="{1AFEE6DA-F860-453B-9931-1C18302CD4BE}"/>
  <tableColumns count="3">
    <tableColumn id="1" xr3:uid="{0B6FD24A-F749-40EB-887E-E178CC0CDDB7}" name="Year" dataDxfId="188"/>
    <tableColumn id="2" xr3:uid="{0D8EF833-C7D1-4094-BE62-48C5D706BFAE}" name="Coins Total" dataDxfId="187"/>
    <tableColumn id="3" xr3:uid="{C31CD8B7-93E6-4CC8-BF6A-25EE693E45E8}" name="Income Earned" dataDxfId="18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3B0B4F-DE07-4F7E-AF16-02B7D5BE4248}" name="hnt_year_sum_tbl_txn" displayName="hnt_year_sum_tbl_txn" ref="AI4:AN5" totalsRowShown="0" headerRowDxfId="185">
  <autoFilter ref="AI4:AN5" xr:uid="{A43B0B4F-DE07-4F7E-AF16-02B7D5BE4248}"/>
  <tableColumns count="6">
    <tableColumn id="1" xr3:uid="{3DED4E9F-B947-4C51-8A56-8E2E531A6E03}" name="Year"/>
    <tableColumn id="2" xr3:uid="{FE6798FD-5AA7-4B31-89B1-553DE2ADE648}" name="Income"/>
    <tableColumn id="3" xr3:uid="{71C913F8-1E0F-40A6-B1CE-3A503EDC2198}" name="Short Gain"/>
    <tableColumn id="4" xr3:uid="{CFE79E11-562C-4556-84F3-0CF7CEBBB9B5}" name="Long Gain"/>
    <tableColumn id="5" xr3:uid="{D8A4791A-4575-467D-8B65-01A1A3D85390}" name="Short Loss"/>
    <tableColumn id="6" xr3:uid="{9C7F0B45-9E59-4D50-B584-DF007A3C12DC}" name="Long Loss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F748E1-B425-4A1A-A870-AABBD88E9916}" name="bnb_income_txn" displayName="bnb_income_txn" ref="A4:Q13" totalsRowShown="0" headerRowDxfId="184" dataDxfId="183">
  <autoFilter ref="A4:Q13" xr:uid="{C2F748E1-B425-4A1A-A870-AABBD88E9916}"/>
  <tableColumns count="17">
    <tableColumn id="1" xr3:uid="{2801C305-A68C-4557-853A-5C3FE356C240}" name="Date of Buy/Income" dataDxfId="182"/>
    <tableColumn id="2" xr3:uid="{1B8B2B6A-34AF-4C00-9F38-406A2995D62B}" name="Buy or Income" dataDxfId="181"/>
    <tableColumn id="3" xr3:uid="{D6372DEC-D9BA-453E-97CD-89D7910AD06E}" name="Price/Coin" dataDxfId="180"/>
    <tableColumn id="4" xr3:uid="{B3771B0D-7297-4608-8DA1-1CEE088B06DF}" name="Coins Gained" dataDxfId="179"/>
    <tableColumn id="5" xr3:uid="{10958FBC-42F4-4EBF-B61E-D35DD99A77B1}" name="Value Gained" dataDxfId="178"/>
    <tableColumn id="6" xr3:uid="{AE1877E3-4186-44C6-92E5-CA01062B8F6B}" name="Coins Sold (#)" dataDxfId="177"/>
    <tableColumn id="7" xr3:uid="{33BD392D-1473-48DE-94BF-9311F9B30C20}" name="Price Sold At" dataDxfId="176"/>
    <tableColumn id="8" xr3:uid="{370A2C3E-5D6D-4C63-B44F-497F550239DE}" name="Realized Gain/Loss" dataDxfId="175"/>
    <tableColumn id="9" xr3:uid="{196A5395-70AB-4747-B761-D15514F4ABCE}" name="Sale Number" dataDxfId="174"/>
    <tableColumn id="10" xr3:uid="{39C0860D-329E-4241-A2EB-847B9B1FC822}" name="Date of Sale" dataDxfId="173"/>
    <tableColumn id="11" xr3:uid="{B100674D-99EE-48C5-8D2E-BEB987475FAA}" name="Cost Basis of Total Sale" dataDxfId="172"/>
    <tableColumn id="12" xr3:uid="{D59C8CEC-DF40-4E79-8E24-E3DB0DEFE187}" name="Value of Total Sale" dataDxfId="171"/>
    <tableColumn id="13" xr3:uid="{C8A3FEED-E2C2-4B48-8FB7-A3BEAA844F62}" name="&gt;1 Year?" dataDxfId="170"/>
    <tableColumn id="14" xr3:uid="{C9C9F90B-F0FE-4F5C-BB06-904B9654D271}" name="Total Sale Gain" dataDxfId="169"/>
    <tableColumn id="15" xr3:uid="{6D613231-EF6F-4C74-9FC4-AC8CC5C8E7F3}" name="% Gain Above 1 Year" dataDxfId="168"/>
    <tableColumn id="16" xr3:uid="{D757145D-6371-403B-B3DC-7766528E6E01}" name="Total Sale Loss" dataDxfId="167"/>
    <tableColumn id="17" xr3:uid="{70DDABAB-5884-48D5-A530-E6002178D87B}" name="% Loss Above 1 Year" dataDxfId="16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396DD8-2E3E-4E8E-8F11-4672F9642E58}" name="bnb_summary_tbl_txn" displayName="bnb_summary_tbl_txn" ref="T4:AC11" totalsRowShown="0" headerRowDxfId="165" dataDxfId="164">
  <autoFilter ref="T4:AC11" xr:uid="{5E396DD8-2E3E-4E8E-8F11-4672F9642E58}"/>
  <tableColumns count="10">
    <tableColumn id="1" xr3:uid="{7101D9BC-62A2-46B0-9C7C-1548791182E5}" name="Sale Number:" dataDxfId="163"/>
    <tableColumn id="2" xr3:uid="{0082864D-4D13-4539-8263-6538287895AB}" name="Date of Sale" dataDxfId="162"/>
    <tableColumn id="3" xr3:uid="{B7E9B0E2-4F39-422F-B33D-CB9B6EF64B33}" name="Coins Sold (#)" dataDxfId="161"/>
    <tableColumn id="4" xr3:uid="{720D6B1D-72DE-4B39-8CCD-ADCE56EFFA25}" name="Sell Price:" dataDxfId="160"/>
    <tableColumn id="5" xr3:uid="{AD60AF59-10F9-4EEF-A429-BC988F00CAE6}" name="Cost Basis of Sale" dataDxfId="159"/>
    <tableColumn id="6" xr3:uid="{AF20ACA8-6DD0-4D9D-A495-A0D19BD34504}" name="Value of Sale" dataDxfId="158"/>
    <tableColumn id="7" xr3:uid="{53766BDF-6883-4DE1-B77D-B8908D289268}" name="Gain:" dataDxfId="157"/>
    <tableColumn id="8" xr3:uid="{59B33010-AD6A-465D-9393-D90249870FD5}" name="% Gain Above 1 Year" dataDxfId="156"/>
    <tableColumn id="9" xr3:uid="{330C5C09-84B0-4C5E-BAD4-F55AF37ADF4C}" name="Loss:" dataDxfId="155"/>
    <tableColumn id="10" xr3:uid="{1671CC54-5671-4080-8CEE-D0D8FA52C69B}" name="% Loss Above 1 Year" dataDxfId="15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B42A726-B578-495D-89D1-7B1C9296F32C}" name="bnb_yearly_income_txn" displayName="bnb_yearly_income_txn" ref="AE4:AG6" totalsRowShown="0" headerRowDxfId="153" dataDxfId="152">
  <autoFilter ref="AE4:AG6" xr:uid="{9B42A726-B578-495D-89D1-7B1C9296F32C}"/>
  <tableColumns count="3">
    <tableColumn id="1" xr3:uid="{C1CD40AE-7C76-483D-8206-2C045A38CE0A}" name="Year" dataDxfId="151"/>
    <tableColumn id="2" xr3:uid="{50873C9D-35B4-42E1-A973-9D64F465742B}" name="Coins Total" dataDxfId="150"/>
    <tableColumn id="3" xr3:uid="{777B2C15-CE4B-4ABE-AB56-57A342D7FD0B}" name="Income Earned" dataDxfId="14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7CE9C6-C361-4C3D-8967-BD05643052F8}" name="bnb_year_sum_tbl_txn" displayName="bnb_year_sum_tbl_txn" ref="AI4:AN5" totalsRowShown="0" headerRowDxfId="148">
  <autoFilter ref="AI4:AN5" xr:uid="{CA7CE9C6-C361-4C3D-8967-BD05643052F8}"/>
  <tableColumns count="6">
    <tableColumn id="1" xr3:uid="{8E727583-2139-4740-8A14-0CBB4C6F8CC6}" name="Year"/>
    <tableColumn id="2" xr3:uid="{985E8D51-35C8-4733-A235-2960B5F74DCC}" name="Income"/>
    <tableColumn id="3" xr3:uid="{CC33FF9F-FB1F-4766-A728-8B85BD94BFC3}" name="Short Gain"/>
    <tableColumn id="4" xr3:uid="{AF6369C7-319B-451E-97F7-56D28F3AC37D}" name="Long Gain"/>
    <tableColumn id="5" xr3:uid="{F8E75075-C0D8-4CCC-8514-9DBB534B74F9}" name="Short Loss"/>
    <tableColumn id="6" xr3:uid="{13076BAD-CFA8-47EA-A4DD-2CBF54A1212C}" name="Long Loss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AD23AB-2AD0-4A6C-8616-420A118E1A33}" name="doge_income_txn" displayName="doge_income_txn" ref="A4:Q5" totalsRowShown="0" headerRowDxfId="147" dataDxfId="146">
  <autoFilter ref="A4:Q5" xr:uid="{B2AD23AB-2AD0-4A6C-8616-420A118E1A33}"/>
  <tableColumns count="17">
    <tableColumn id="1" xr3:uid="{36F80512-3229-4044-B087-5C592E19EABC}" name="Date of Buy/Income" dataDxfId="145"/>
    <tableColumn id="2" xr3:uid="{57E2A32F-6BA5-4722-BB00-AD3AE2242F93}" name="Buy or Income" dataDxfId="144"/>
    <tableColumn id="3" xr3:uid="{B2E6AB40-23F7-4722-90AB-AB6C9E444542}" name="Price/Coin" dataDxfId="143"/>
    <tableColumn id="4" xr3:uid="{B4D810EF-D9D7-4778-AE34-CDC29A59092B}" name="Coins Gained" dataDxfId="142"/>
    <tableColumn id="5" xr3:uid="{A600C59C-6DDB-4B37-9FAA-9676769B524D}" name="Value Gained" dataDxfId="141"/>
    <tableColumn id="6" xr3:uid="{135313FE-B6BE-4768-B488-90F3793C9493}" name="Coins Sold (#)" dataDxfId="140"/>
    <tableColumn id="7" xr3:uid="{4D642016-8966-4B76-8A78-DF4CB81F7544}" name="Price Sold At" dataDxfId="139"/>
    <tableColumn id="8" xr3:uid="{CD2C50C2-D5EA-4B98-9CA2-8B067A5C9414}" name="Realized Gain/Loss" dataDxfId="138"/>
    <tableColumn id="9" xr3:uid="{DE271D65-E6D3-4429-9095-4DBF17F96FD0}" name="Sale Number" dataDxfId="137"/>
    <tableColumn id="10" xr3:uid="{C576EF6E-4C77-4979-92AA-D24572C4A952}" name="Date of Sale" dataDxfId="136"/>
    <tableColumn id="11" xr3:uid="{422D1823-D137-440D-9C3C-CFC3C16383B4}" name="Cost Basis of Total Sale" dataDxfId="135"/>
    <tableColumn id="12" xr3:uid="{FCB0FAF5-6545-4081-A97C-5A37902460AC}" name="Value of Total Sale" dataDxfId="134"/>
    <tableColumn id="13" xr3:uid="{E4ADD311-DDA8-476A-8A91-476CC839C2D5}" name="&gt;1 Year?" dataDxfId="133"/>
    <tableColumn id="14" xr3:uid="{23AFCEEE-1B45-43B3-8BA4-9D364FB71697}" name="Total Sale Gain" dataDxfId="132"/>
    <tableColumn id="15" xr3:uid="{132280EF-8379-46CC-B553-710BF4466DFF}" name="% Gain Above 1 Year" dataDxfId="131"/>
    <tableColumn id="16" xr3:uid="{D0EA84E3-C53E-416F-AC34-36884855C8F1}" name="Total Sale Loss" dataDxfId="130"/>
    <tableColumn id="17" xr3:uid="{5EBBE74E-C888-450F-970C-B1F76F3EB07F}" name="% Loss Above 1 Year" dataDxfId="12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82FE76-0858-432F-88E7-1EA1FA21D880}" name="doge_summary_tbl_txn" displayName="doge_summary_tbl_txn" ref="T4:AC5" totalsRowShown="0" headerRowDxfId="128" dataDxfId="127">
  <autoFilter ref="T4:AC5" xr:uid="{B782FE76-0858-432F-88E7-1EA1FA21D880}"/>
  <tableColumns count="10">
    <tableColumn id="1" xr3:uid="{2DC340B8-BE1D-406E-BB00-9BAC2ED0CE09}" name="Sale Number:" dataDxfId="126"/>
    <tableColumn id="2" xr3:uid="{3D9277CF-E4B6-4513-8E1E-D8EF5E50F743}" name="Date of Sale" dataDxfId="125"/>
    <tableColumn id="3" xr3:uid="{CEA8B439-4DB2-400C-A8A3-894EDAE47B10}" name="Coins Sold (#)" dataDxfId="124"/>
    <tableColumn id="4" xr3:uid="{84A01367-BAAC-413D-A90F-D9912B28C925}" name="Sell Price:" dataDxfId="123"/>
    <tableColumn id="5" xr3:uid="{196C2C29-6294-4719-8368-A348B5AD571D}" name="Cost Basis of Sale" dataDxfId="122"/>
    <tableColumn id="6" xr3:uid="{2C1A6540-55CB-44B2-A55C-E7D29A452566}" name="Value of Sale" dataDxfId="121"/>
    <tableColumn id="7" xr3:uid="{34F959E0-EF56-4B02-BFA9-9E0235BA59BD}" name="Gain:" dataDxfId="120"/>
    <tableColumn id="8" xr3:uid="{B3DB735C-9D73-4BD2-B8CD-104A20327979}" name="% Gain Above 1 Year" dataDxfId="119"/>
    <tableColumn id="9" xr3:uid="{E378D143-FD95-4706-9849-7F5A254E836D}" name="Loss:" dataDxfId="118"/>
    <tableColumn id="10" xr3:uid="{B9479015-CD23-4FE2-84C4-A96DCD82CBFF}" name="% Loss Above 1 Year" dataDxfId="11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55FB36-96B4-4FA8-B25B-ECF5317C1490}" name="doge_yearly_income_txn" displayName="doge_yearly_income_txn" ref="AE4:AG6" totalsRowShown="0" headerRowDxfId="116" dataDxfId="115">
  <autoFilter ref="AE4:AG6" xr:uid="{2155FB36-96B4-4FA8-B25B-ECF5317C1490}"/>
  <tableColumns count="3">
    <tableColumn id="1" xr3:uid="{43C213C7-CF32-4826-AE2E-2ADB0D4CEA0C}" name="Year" dataDxfId="114"/>
    <tableColumn id="2" xr3:uid="{35F8387E-4471-4DF7-A0F9-13728D0F03B6}" name="Coins Total" dataDxfId="113"/>
    <tableColumn id="3" xr3:uid="{2A0A4898-A38B-4461-8054-41A2F3C41D56}" name="Income Earned" dataDxfId="11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C83C5F-DF7D-424F-BF6B-36AAB0700EDB}" name="doge_year_sum_tbl_txn" displayName="doge_year_sum_tbl_txn" ref="AI4:AN5" totalsRowShown="0" headerRowDxfId="111">
  <autoFilter ref="AI4:AN5" xr:uid="{CFC83C5F-DF7D-424F-BF6B-36AAB0700EDB}"/>
  <tableColumns count="6">
    <tableColumn id="1" xr3:uid="{E10AA206-E305-4DE0-802E-8B84316818F0}" name="Year"/>
    <tableColumn id="2" xr3:uid="{08DBCD83-B979-4AB4-9882-B370E4418CD5}" name="Income"/>
    <tableColumn id="3" xr3:uid="{D4DF3C2E-1831-425A-9019-40D34C4BE607}" name="Short Gain"/>
    <tableColumn id="4" xr3:uid="{639FA11D-5578-46D7-9901-3F5A5283D846}" name="Long Gain"/>
    <tableColumn id="5" xr3:uid="{18D7EF03-051F-498F-A51D-18A8FEB052EC}" name="Short Loss"/>
    <tableColumn id="6" xr3:uid="{5EAA3663-7AFE-4AD8-8E75-236B20036BC5}" name="Long Loss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0926A-9D69-4164-9F1A-6C61068D6CCC}" name="btc_income_txn" displayName="btc_income_txn" ref="A4:Q7" totalsRowShown="0" headerRowDxfId="110" dataDxfId="109">
  <autoFilter ref="A4:Q7" xr:uid="{DAF0926A-9D69-4164-9F1A-6C61068D6CCC}"/>
  <tableColumns count="17">
    <tableColumn id="1" xr3:uid="{7FF383BD-F96B-4EF5-B2C7-63A1F919CDFD}" name="Date of Buy/Income" dataDxfId="108"/>
    <tableColumn id="2" xr3:uid="{6126FB14-77EB-4161-ACAE-696D1F3646B6}" name="Buy or Income" dataDxfId="107"/>
    <tableColumn id="3" xr3:uid="{718223F7-256E-4D9A-A6BB-32BB0A1A2A67}" name="Price/Coin" dataDxfId="106"/>
    <tableColumn id="4" xr3:uid="{2D0DD23C-E340-4CBF-AFF9-F9C88E414320}" name="Coins Gained" dataDxfId="105"/>
    <tableColumn id="5" xr3:uid="{2D35B5CF-3C5F-466F-8927-0C0B28B426D8}" name="Value Gained" dataDxfId="104"/>
    <tableColumn id="6" xr3:uid="{D6BDFF37-5D89-4C57-8244-775FDF4E76B3}" name="Coins Sold (#)" dataDxfId="103"/>
    <tableColumn id="7" xr3:uid="{D6741610-47D1-4321-B1BB-F9E531C0EB3C}" name="Price Sold At" dataDxfId="102"/>
    <tableColumn id="8" xr3:uid="{3922C200-7603-4840-9C27-86C4142E972D}" name="Realized Gain/Loss" dataDxfId="101"/>
    <tableColumn id="9" xr3:uid="{C8F1F3C5-A66C-4128-8319-618B3388CBED}" name="Sale Number" dataDxfId="100"/>
    <tableColumn id="10" xr3:uid="{DFD2BA5A-B1EC-4A6D-950F-9633EC5A476F}" name="Date of Sale" dataDxfId="99"/>
    <tableColumn id="11" xr3:uid="{C71576C8-91B0-4347-8336-C0C3FB5F003F}" name="Cost Basis of Total Sale" dataDxfId="98"/>
    <tableColumn id="12" xr3:uid="{2F315184-5432-42B1-BF98-E23E69BE3C60}" name="Value of Total Sale" dataDxfId="97"/>
    <tableColumn id="13" xr3:uid="{199E703B-6548-477F-845A-282C6FB336AA}" name="&gt;1 Year?" dataDxfId="96"/>
    <tableColumn id="14" xr3:uid="{6562CD11-82FA-46FD-9346-93BD8CECB6EC}" name="Total Sale Gain" dataDxfId="95"/>
    <tableColumn id="15" xr3:uid="{C6CCFE45-35E1-48CB-AEE9-1C4B445D0809}" name="% Gain Above 1 Year" dataDxfId="94"/>
    <tableColumn id="16" xr3:uid="{63241200-C588-4B66-961B-5028384A114D}" name="Total Sale Loss" dataDxfId="93"/>
    <tableColumn id="17" xr3:uid="{12A9839F-BEFC-45C3-AA3C-5991882F0B0F}" name="% Loss Above 1 Year" dataDxfId="9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A92473-2B43-4214-A11C-F4D19E286D1F}" name="btc_summary_tbl_txn" displayName="btc_summary_tbl_txn" ref="T4:AC5" totalsRowShown="0" headerRowDxfId="91" dataDxfId="90">
  <autoFilter ref="T4:AC5" xr:uid="{97A92473-2B43-4214-A11C-F4D19E286D1F}"/>
  <tableColumns count="10">
    <tableColumn id="1" xr3:uid="{8741A7C7-44DA-4DA0-BAB1-1F84DC4954CC}" name="Sale Number:" dataDxfId="89"/>
    <tableColumn id="2" xr3:uid="{CBE9F390-3DEC-4401-8C96-2C7E2E7451AD}" name="Date of Sale" dataDxfId="88"/>
    <tableColumn id="3" xr3:uid="{E2254BB8-5292-431C-9170-77A2ED47F02A}" name="Coins Sold (#)" dataDxfId="87"/>
    <tableColumn id="4" xr3:uid="{02AC3998-CD01-4B1A-B754-F416A3F753C4}" name="Sell Price:" dataDxfId="86"/>
    <tableColumn id="5" xr3:uid="{A61438B1-C55C-4010-A044-E65D54528DFC}" name="Cost Basis of Sale" dataDxfId="85"/>
    <tableColumn id="6" xr3:uid="{EC38C9F7-37AB-4570-954B-858AF35C44C3}" name="Value of Sale" dataDxfId="84"/>
    <tableColumn id="7" xr3:uid="{33067677-F351-408E-B50E-DB520D1FFB88}" name="Gain:" dataDxfId="83"/>
    <tableColumn id="8" xr3:uid="{4319C429-F8A4-4790-9D45-FF5780326F3A}" name="% Gain Above 1 Year" dataDxfId="82"/>
    <tableColumn id="9" xr3:uid="{816FF8A1-6600-4F80-9AB3-50837E09B8A0}" name="Loss:" dataDxfId="81"/>
    <tableColumn id="10" xr3:uid="{5EB54EF1-AFF6-4D23-9ED1-6ADAE869DF00}" name="% Loss Above 1 Year" dataDxfId="8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7A52A4-A49C-49FE-8D62-E2A1CD4ED1F8}" name="btc_yearly_income_txn" displayName="btc_yearly_income_txn" ref="AE4:AG6" totalsRowShown="0" headerRowDxfId="79" dataDxfId="78">
  <autoFilter ref="AE4:AG6" xr:uid="{6D7A52A4-A49C-49FE-8D62-E2A1CD4ED1F8}"/>
  <tableColumns count="3">
    <tableColumn id="1" xr3:uid="{05366874-4EA2-4549-B30E-A3911D45C100}" name="Year" dataDxfId="77"/>
    <tableColumn id="2" xr3:uid="{68B3D309-D989-4D04-AD0B-F38E9B4E623A}" name="Coins Total" dataDxfId="76"/>
    <tableColumn id="3" xr3:uid="{4A087882-0A4C-4E25-A866-B578E320750B}" name="Income Earned" dataDxfId="7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7DC561-8A53-4653-9A69-E98360B27615}" name="btc_year_sum_tbl_txn" displayName="btc_year_sum_tbl_txn" ref="AI4:AN5" totalsRowShown="0" headerRowDxfId="74">
  <autoFilter ref="AI4:AN5" xr:uid="{D17DC561-8A53-4653-9A69-E98360B27615}"/>
  <tableColumns count="6">
    <tableColumn id="1" xr3:uid="{FD9E8B45-E5BC-43D2-A6BE-3577588F8944}" name="Year"/>
    <tableColumn id="2" xr3:uid="{09C31A44-3C01-4B32-B087-BC4FB2A75D4F}" name="Income"/>
    <tableColumn id="3" xr3:uid="{C07ADDC4-969F-4594-B4C7-6F8A98A934C1}" name="Short Gain"/>
    <tableColumn id="4" xr3:uid="{91FD5803-61D2-41B8-BA15-DB8757DF2FEE}" name="Long Gain"/>
    <tableColumn id="5" xr3:uid="{B1B3F198-9323-41CA-A914-350239C01C65}" name="Short Loss"/>
    <tableColumn id="6" xr3:uid="{2458A1B6-109F-425C-845C-742792870AA5}" name="Long Loss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5C909534-22E7-4754-B0F7-153D51656F54}" name="usdc_income_txn" displayName="usdc_income_txn" ref="A4:Q7" totalsRowShown="0" headerRowDxfId="73" dataDxfId="72">
  <autoFilter ref="A4:Q7" xr:uid="{5C909534-22E7-4754-B0F7-153D51656F54}"/>
  <tableColumns count="17">
    <tableColumn id="1" xr3:uid="{137FB471-EA67-426D-9904-D1A9611B80B7}" name="Date of Buy/Income" dataDxfId="71"/>
    <tableColumn id="2" xr3:uid="{FBAAE8DF-85CD-40AD-9137-2465812FA2B8}" name="Buy or Income" dataDxfId="70"/>
    <tableColumn id="3" xr3:uid="{702E8F60-F979-4683-95BE-39DE58EEBE8A}" name="Price/Coin" dataDxfId="69"/>
    <tableColumn id="4" xr3:uid="{B0F97EF1-5CF1-439A-8C3C-C24A46DB0C83}" name="Coins Gained" dataDxfId="68"/>
    <tableColumn id="5" xr3:uid="{50516E55-7278-427A-BEC5-3D44C7843483}" name="Value Gained" dataDxfId="67"/>
    <tableColumn id="6" xr3:uid="{BAA13973-4B76-4D33-A11A-750A86D9CA32}" name="Coins Sold (#)" dataDxfId="66"/>
    <tableColumn id="7" xr3:uid="{067DFD95-B178-4BE5-B420-D94905DB530B}" name="Price Sold At" dataDxfId="65"/>
    <tableColumn id="8" xr3:uid="{612A822A-CE51-42BB-91F7-61C86E718D48}" name="Realized Gain/Loss" dataDxfId="64"/>
    <tableColumn id="9" xr3:uid="{85C2FE98-1CAF-4FE1-B307-2A91F6A8996E}" name="Sale Number" dataDxfId="63"/>
    <tableColumn id="10" xr3:uid="{D936EA17-EDFE-47B3-BA54-A608BB3DB79C}" name="Date of Sale" dataDxfId="62"/>
    <tableColumn id="11" xr3:uid="{053D32D1-001B-4C85-B2AF-16E551D8E9CB}" name="Cost Basis of Total Sale" dataDxfId="61"/>
    <tableColumn id="12" xr3:uid="{9A31CE90-5C44-43E2-8744-349F9FCD06CC}" name="Value of Total Sale" dataDxfId="60"/>
    <tableColumn id="13" xr3:uid="{91485FFC-3FEF-401B-930F-9A87041E12D8}" name="&gt;1 Year?" dataDxfId="59"/>
    <tableColumn id="14" xr3:uid="{79208FC9-D663-4B5D-AF37-8CB5B18051AD}" name="Total Sale Gain" dataDxfId="58"/>
    <tableColumn id="15" xr3:uid="{4FB9B3F4-1CD6-424A-A4BE-44F60DC54380}" name="% Gain Above 1 Year" dataDxfId="57"/>
    <tableColumn id="16" xr3:uid="{0047E92B-8440-4196-B28F-0FD458A0C263}" name="Total Sale Loss" dataDxfId="56"/>
    <tableColumn id="17" xr3:uid="{C35F95A8-E87E-42B1-AD8F-F658355312E2}" name="% Loss Above 1 Year" dataDxfId="55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4F8CA008-A36D-4BC9-9471-21636DEC0801}" name="usdc_summary_tbl_txn" displayName="usdc_summary_tbl_txn" ref="T4:AC5" totalsRowShown="0" headerRowDxfId="54" dataDxfId="53">
  <autoFilter ref="T4:AC5" xr:uid="{4F8CA008-A36D-4BC9-9471-21636DEC0801}"/>
  <tableColumns count="10">
    <tableColumn id="1" xr3:uid="{D0BC420C-5BA4-4FA0-BA4D-C575EAB4C034}" name="Sale Number:" dataDxfId="52"/>
    <tableColumn id="2" xr3:uid="{0B2A0B01-7D6F-4D87-A77F-6BC3088A9ABD}" name="Date of Sale" dataDxfId="51"/>
    <tableColumn id="3" xr3:uid="{768017D0-5990-47FE-9B71-CE443E23FA87}" name="Coins Sold (#)" dataDxfId="50"/>
    <tableColumn id="4" xr3:uid="{D8B53AEB-27F2-4CC8-91F0-A0A7DFD88BDE}" name="Sell Price:" dataDxfId="49"/>
    <tableColumn id="5" xr3:uid="{0AD52986-4CCA-4057-A223-88E78F9C85D2}" name="Cost Basis of Sale" dataDxfId="48"/>
    <tableColumn id="6" xr3:uid="{53A7F740-7745-4F09-80BB-B62E085FA546}" name="Value of Sale" dataDxfId="47"/>
    <tableColumn id="7" xr3:uid="{31E116D0-3C25-4050-98F3-2EF81D7C29D0}" name="Gain:" dataDxfId="46"/>
    <tableColumn id="8" xr3:uid="{552FBB89-1B45-490D-A34A-39C13219CDC0}" name="% Gain Above 1 Year" dataDxfId="45"/>
    <tableColumn id="9" xr3:uid="{BC75FD17-E169-4D41-8EDF-3376198029E9}" name="Loss:" dataDxfId="44"/>
    <tableColumn id="10" xr3:uid="{26A1BE96-6F82-4EE2-A37F-D32421CF785A}" name="% Loss Above 1 Year" dataDxfId="43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E5792639-8353-46A5-939D-C50058A0F4F3}" name="usdc_yearly_income_txn" displayName="usdc_yearly_income_txn" ref="AE4:AG6" totalsRowShown="0" headerRowDxfId="42" dataDxfId="41">
  <autoFilter ref="AE4:AG6" xr:uid="{E5792639-8353-46A5-939D-C50058A0F4F3}"/>
  <tableColumns count="3">
    <tableColumn id="1" xr3:uid="{B1ECC0FE-D443-4386-9AE2-4C0423EB2567}" name="Year" dataDxfId="40"/>
    <tableColumn id="2" xr3:uid="{62419075-2F55-4895-8FD3-097FE17C5B5E}" name="Coins Total" dataDxfId="39"/>
    <tableColumn id="3" xr3:uid="{E273B5ED-15B7-4042-B803-A3D6269C2177}" name="Income Earned" dataDxfId="3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531F4ADB-1EE5-46C6-98AE-96ED64F01FB2}" name="usdc_year_sum_tbl_txn" displayName="usdc_year_sum_tbl_txn" ref="AI4:AN5" totalsRowShown="0" headerRowDxfId="37">
  <autoFilter ref="AI4:AN5" xr:uid="{531F4ADB-1EE5-46C6-98AE-96ED64F01FB2}"/>
  <tableColumns count="6">
    <tableColumn id="1" xr3:uid="{B03E17A7-8442-4A88-BD4C-2BAC3FC91BDC}" name="Year"/>
    <tableColumn id="2" xr3:uid="{8A92885E-415C-4AC3-A3D5-BC1669A49600}" name="Income"/>
    <tableColumn id="3" xr3:uid="{5E304066-54BD-4FDA-A4DA-E5D98916CDB0}" name="Short Gain"/>
    <tableColumn id="4" xr3:uid="{BA0BA38D-BCF1-47C0-B016-F96F041DC3A0}" name="Long Gain"/>
    <tableColumn id="5" xr3:uid="{9B4F1192-D801-4020-9545-AA1EFAFBA98C}" name="Short Loss"/>
    <tableColumn id="6" xr3:uid="{1C6E89C9-517A-4283-886A-5C7FD4BAEEE6}" name="Long Loss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6D72A56-BF44-400B-9895-828EBC60724E}" name="cake_income_txn" displayName="cake_income_txn" ref="A4:Q186" totalsRowShown="0" headerRowDxfId="36" dataDxfId="35">
  <autoFilter ref="A4:Q186" xr:uid="{C6D72A56-BF44-400B-9895-828EBC60724E}"/>
  <tableColumns count="17">
    <tableColumn id="1" xr3:uid="{9E75EFC2-3172-400B-8BBE-37D85025A365}" name="Date of Buy/Income" dataDxfId="34"/>
    <tableColumn id="2" xr3:uid="{F75AF31C-A955-4065-9806-804D4EAC7FA8}" name="Buy or Income" dataDxfId="33"/>
    <tableColumn id="3" xr3:uid="{4967B143-CB2B-4756-8F23-CA5FC429CCB1}" name="Price/Coin" dataDxfId="32"/>
    <tableColumn id="4" xr3:uid="{7E5F4BF6-D42A-498B-8E12-784B6D0CF076}" name="Coins Gained" dataDxfId="31"/>
    <tableColumn id="5" xr3:uid="{8AA1B9DB-1ACC-4039-B695-3B633CE8C6AB}" name="Value Gained" dataDxfId="30"/>
    <tableColumn id="6" xr3:uid="{75B102C3-C792-40BC-AE4E-983D99B7AE2C}" name="Coins Sold (#)" dataDxfId="29"/>
    <tableColumn id="7" xr3:uid="{01542464-5744-487C-B892-2172B61B2D19}" name="Price Sold At" dataDxfId="28"/>
    <tableColumn id="8" xr3:uid="{B9594F05-A87E-43D2-B35A-ADC2122958EA}" name="Realized Gain/Loss" dataDxfId="27"/>
    <tableColumn id="9" xr3:uid="{B18F6FE7-405F-486F-90E1-A5DA3E48990E}" name="Sale Number" dataDxfId="26"/>
    <tableColumn id="10" xr3:uid="{F5E5A466-C526-45D2-A164-1FF4C133D010}" name="Date of Sale" dataDxfId="25"/>
    <tableColumn id="11" xr3:uid="{CC19C077-CE6E-4DAB-9A52-9CF57E9F312E}" name="Cost Basis of Total Sale" dataDxfId="24"/>
    <tableColumn id="12" xr3:uid="{20844F12-F83B-4101-AC57-102CF4F91599}" name="Value of Total Sale" dataDxfId="23"/>
    <tableColumn id="13" xr3:uid="{F7C66275-908B-455D-9378-7C818074E779}" name="&gt;1 Year?" dataDxfId="22"/>
    <tableColumn id="14" xr3:uid="{2A963A5E-6E78-4713-BEDC-83A3B46A8006}" name="Total Sale Gain" dataDxfId="21"/>
    <tableColumn id="15" xr3:uid="{5EB0AB0D-96BF-40C2-9FD5-EF36488EE372}" name="% Gain Above 1 Year" dataDxfId="20"/>
    <tableColumn id="16" xr3:uid="{1DEC1A9F-4930-4103-BAFE-703C2AA77480}" name="Total Sale Loss" dataDxfId="19"/>
    <tableColumn id="17" xr3:uid="{21CC2470-1DC3-4898-8862-6DA0685AF6FC}" name="% Loss Above 1 Year" dataDxfId="18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96EE4C88-8D4D-462F-8C83-358B05B43989}" name="cake_summary_tbl_txn" displayName="cake_summary_tbl_txn" ref="T4:AC5" totalsRowShown="0" headerRowDxfId="17" dataDxfId="16">
  <autoFilter ref="T4:AC5" xr:uid="{96EE4C88-8D4D-462F-8C83-358B05B43989}"/>
  <tableColumns count="10">
    <tableColumn id="1" xr3:uid="{D3A249F1-DD06-4076-AF81-076BCC2184F2}" name="Sale Number:" dataDxfId="15"/>
    <tableColumn id="2" xr3:uid="{0896CB6D-38E7-494D-80CE-C1ACD363C5F7}" name="Date of Sale" dataDxfId="14"/>
    <tableColumn id="3" xr3:uid="{FB793D19-F7ED-42FD-8AB8-6E6B0F5FE251}" name="Coins Sold (#)" dataDxfId="13"/>
    <tableColumn id="4" xr3:uid="{82481A4D-3384-4428-B12F-15525BB75D68}" name="Sell Price:" dataDxfId="12"/>
    <tableColumn id="5" xr3:uid="{956C962B-F660-41E0-A98A-FA38EC39BBBA}" name="Cost Basis of Sale" dataDxfId="11"/>
    <tableColumn id="6" xr3:uid="{12B1B2B5-E667-4D04-8667-20CF3FA2B5DA}" name="Value of Sale" dataDxfId="10"/>
    <tableColumn id="7" xr3:uid="{5FA3297B-427B-49DE-A51F-991DB08BDD64}" name="Gain:" dataDxfId="9"/>
    <tableColumn id="8" xr3:uid="{80A5CB62-5E47-4FCA-8A6E-E3F0D913317C}" name="% Gain Above 1 Year" dataDxfId="8"/>
    <tableColumn id="9" xr3:uid="{5815A2AB-7EA5-4C4F-8906-5ED9F41EF786}" name="Loss:" dataDxfId="7"/>
    <tableColumn id="10" xr3:uid="{ACAEB323-0C84-48FE-85AC-D592582BC69A}" name="% Loss Above 1 Year" dataDxfId="6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4F8E9032-67C7-4F89-BD0F-589879167D3F}" name="cake_yearly_income_txn" displayName="cake_yearly_income_txn" ref="AE4:AG6" totalsRowShown="0" headerRowDxfId="5" dataDxfId="4">
  <autoFilter ref="AE4:AG6" xr:uid="{4F8E9032-67C7-4F89-BD0F-589879167D3F}"/>
  <tableColumns count="3">
    <tableColumn id="1" xr3:uid="{DBF16996-DE35-4727-B743-88E0F494C0D7}" name="Year" dataDxfId="3"/>
    <tableColumn id="2" xr3:uid="{9509750F-89CE-429D-AC64-40E32E6BAE7E}" name="Coins Total" dataDxfId="2"/>
    <tableColumn id="3" xr3:uid="{6246B257-0698-4A70-B66E-216D0D923B22}" name="Income Earned" dataDxf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E5D27E53-25D0-403F-A668-94C51991266F}" name="cake_year_sum_tbl_txn" displayName="cake_year_sum_tbl_txn" ref="AI4:AN5" totalsRowShown="0" headerRowDxfId="0">
  <autoFilter ref="AI4:AN5" xr:uid="{E5D27E53-25D0-403F-A668-94C51991266F}"/>
  <tableColumns count="6">
    <tableColumn id="1" xr3:uid="{2ABF1E74-2BA3-46DF-ABFC-627A2EBF6CFD}" name="Year"/>
    <tableColumn id="2" xr3:uid="{A65DF41B-CBE4-40C7-ADBD-1F23CE36ED13}" name="Income"/>
    <tableColumn id="3" xr3:uid="{B2242CBB-1735-4FE4-85E3-0D54DC0FAF03}" name="Short Gain"/>
    <tableColumn id="4" xr3:uid="{06FA0A41-E10B-479F-AF84-8CC6F9B1530D}" name="Long Gain"/>
    <tableColumn id="5" xr3:uid="{80612BA1-8F98-4C98-BC60-25C8B52CA4CB}" name="Short Loss"/>
    <tableColumn id="6" xr3:uid="{3087D1BD-7ED5-4485-8A8B-92AB1107EA17}" name="Long Lo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7977F8-B41D-4F26-8031-338E5AC96C7D}">
  <we:reference id="wa104379220" version="8.0.0.0" store="en-US" storeType="OMEX"/>
  <we:alternateReferences>
    <we:reference id="WA104379220" version="8.0.0.0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4" Type="http://schemas.openxmlformats.org/officeDocument/2006/relationships/table" Target="../tables/table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Relationship Id="rId4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4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Relationship Id="rId4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table" Target="../tables/table34.xml"/><Relationship Id="rId4" Type="http://schemas.openxmlformats.org/officeDocument/2006/relationships/table" Target="../tables/table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table" Target="../tables/table38.xml"/><Relationship Id="rId4" Type="http://schemas.openxmlformats.org/officeDocument/2006/relationships/table" Target="../tables/table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table" Target="../tables/table42.xml"/><Relationship Id="rId4" Type="http://schemas.openxmlformats.org/officeDocument/2006/relationships/table" Target="../tables/table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187B-DE8C-433C-98F5-6FDF2BE378E9}">
  <sheetPr codeName="Sheet1"/>
  <dimension ref="A1:N26"/>
  <sheetViews>
    <sheetView topLeftCell="A17" zoomScale="70" zoomScaleNormal="70" workbookViewId="0">
      <selection activeCell="F29" sqref="F29"/>
    </sheetView>
  </sheetViews>
  <sheetFormatPr defaultRowHeight="14.5" x14ac:dyDescent="0.35"/>
  <cols>
    <col min="1" max="1" width="9" bestFit="1" customWidth="1"/>
    <col min="2" max="2" width="10.26953125" customWidth="1"/>
    <col min="3" max="3" width="16.453125" bestFit="1" customWidth="1"/>
    <col min="4" max="4" width="8.453125" bestFit="1" customWidth="1"/>
    <col min="5" max="5" width="18.54296875" customWidth="1"/>
    <col min="6" max="6" width="23.08984375" customWidth="1"/>
    <col min="7" max="7" width="12.1796875" bestFit="1" customWidth="1"/>
    <col min="8" max="8" width="16.6328125" customWidth="1"/>
    <col min="9" max="9" width="12.81640625" customWidth="1"/>
    <col min="10" max="10" width="21.81640625" bestFit="1" customWidth="1"/>
    <col min="11" max="11" width="12.7265625" bestFit="1" customWidth="1"/>
    <col min="12" max="12" width="16.26953125" customWidth="1"/>
    <col min="13" max="13" width="18.6328125" bestFit="1" customWidth="1"/>
    <col min="14" max="14" width="13.453125" bestFit="1" customWidth="1"/>
  </cols>
  <sheetData>
    <row r="1" spans="1:14" ht="42.5" thickBot="1" x14ac:dyDescent="0.4">
      <c r="A1" s="1" t="s">
        <v>0</v>
      </c>
      <c r="B1" s="14" t="s">
        <v>57</v>
      </c>
      <c r="C1" s="14" t="s">
        <v>1</v>
      </c>
      <c r="D1" s="14" t="s">
        <v>2</v>
      </c>
      <c r="E1" s="14" t="s">
        <v>58</v>
      </c>
      <c r="F1" s="14" t="s">
        <v>59</v>
      </c>
      <c r="G1" s="14" t="s">
        <v>3</v>
      </c>
      <c r="H1" s="14" t="s">
        <v>4</v>
      </c>
      <c r="I1" s="14" t="s">
        <v>5</v>
      </c>
      <c r="J1" s="14" t="s">
        <v>25</v>
      </c>
      <c r="K1" s="14" t="s">
        <v>6</v>
      </c>
      <c r="L1" s="14" t="s">
        <v>7</v>
      </c>
      <c r="M1" s="2" t="s">
        <v>67</v>
      </c>
      <c r="N1" s="2" t="s">
        <v>26</v>
      </c>
    </row>
    <row r="2" spans="1:14" x14ac:dyDescent="0.35">
      <c r="A2" s="16"/>
      <c r="B2" s="16">
        <v>14</v>
      </c>
      <c r="C2" s="17">
        <v>44155.667361111111</v>
      </c>
      <c r="D2" s="16" t="s">
        <v>13</v>
      </c>
      <c r="E2" s="16" t="s">
        <v>10</v>
      </c>
      <c r="F2" s="16" t="s">
        <v>15</v>
      </c>
      <c r="G2" s="16" t="s">
        <v>17</v>
      </c>
      <c r="H2" s="18">
        <v>5.3404000000000004E-3</v>
      </c>
      <c r="I2" s="19">
        <v>57524.83</v>
      </c>
      <c r="J2" s="19">
        <v>307.20560213200002</v>
      </c>
      <c r="K2" s="19">
        <v>0</v>
      </c>
      <c r="L2" s="16">
        <v>1</v>
      </c>
      <c r="M2" s="18">
        <v>0.13897799999999999</v>
      </c>
      <c r="N2" s="18">
        <f>IF(OR(Transaction_tbl[[#This Row],[Type]]="Sell", Transaction_tbl[[#This Row],[Type]]="Fee"), Transaction_tbl[[#This Row],[Previous Units
(Units Owned Before Txn)]]-Transaction_tbl[[#This Row],[Transacted Units]], IF(OR(Transaction_tbl[[#This Row],[Type]]="Buy", Transaction_tbl[[#This Row],[Type]]="Income"),  Transaction_tbl[[#This Row],[Previous Units
(Units Owned Before Txn)]]+Transaction_tbl[[#This Row],[Transacted Units]], "No Type Selected"))</f>
        <v>0.1336376</v>
      </c>
    </row>
    <row r="3" spans="1:14" x14ac:dyDescent="0.35">
      <c r="A3" s="16"/>
      <c r="B3" s="16">
        <v>8</v>
      </c>
      <c r="C3" s="17">
        <v>44157.084027777775</v>
      </c>
      <c r="D3" s="16" t="s">
        <v>8</v>
      </c>
      <c r="E3" s="16" t="s">
        <v>10</v>
      </c>
      <c r="F3" s="16" t="s">
        <v>15</v>
      </c>
      <c r="G3" s="16" t="s">
        <v>17</v>
      </c>
      <c r="H3" s="18">
        <v>5.3404000000000004E-3</v>
      </c>
      <c r="I3" s="19">
        <v>18713.63</v>
      </c>
      <c r="J3" s="19">
        <v>99.938269652000017</v>
      </c>
      <c r="K3" s="19">
        <v>0</v>
      </c>
      <c r="L3" s="16">
        <v>1</v>
      </c>
      <c r="M3" s="18">
        <v>0</v>
      </c>
      <c r="N3" s="18">
        <v>5.3404000000000004E-3</v>
      </c>
    </row>
    <row r="4" spans="1:14" x14ac:dyDescent="0.35">
      <c r="A4" s="16"/>
      <c r="B4" s="16">
        <v>6</v>
      </c>
      <c r="C4" s="17">
        <v>44235.627083333333</v>
      </c>
      <c r="D4" s="16" t="s">
        <v>8</v>
      </c>
      <c r="E4" s="16" t="s">
        <v>10</v>
      </c>
      <c r="F4" s="16" t="s">
        <v>15</v>
      </c>
      <c r="G4" s="16" t="s">
        <v>16</v>
      </c>
      <c r="H4" s="18">
        <v>599</v>
      </c>
      <c r="I4" s="19">
        <v>0.08</v>
      </c>
      <c r="J4" s="19">
        <v>47.92</v>
      </c>
      <c r="K4" s="19">
        <v>0</v>
      </c>
      <c r="L4" s="16">
        <v>1</v>
      </c>
      <c r="M4" s="18">
        <v>1.04</v>
      </c>
      <c r="N4" s="18">
        <v>600.04</v>
      </c>
    </row>
    <row r="5" spans="1:14" x14ac:dyDescent="0.35">
      <c r="A5" s="16"/>
      <c r="B5" s="16">
        <v>1</v>
      </c>
      <c r="C5" s="17">
        <v>44313.886805555558</v>
      </c>
      <c r="D5" s="16" t="s">
        <v>8</v>
      </c>
      <c r="E5" s="16" t="s">
        <v>10</v>
      </c>
      <c r="F5" s="16" t="s">
        <v>11</v>
      </c>
      <c r="G5" s="16" t="s">
        <v>12</v>
      </c>
      <c r="H5" s="18">
        <v>0.52</v>
      </c>
      <c r="I5" s="19">
        <v>574.04</v>
      </c>
      <c r="J5" s="19">
        <v>300.00079999999997</v>
      </c>
      <c r="K5" s="19">
        <v>1.5</v>
      </c>
      <c r="L5" s="16">
        <v>1</v>
      </c>
      <c r="M5" s="18">
        <v>5.3404000000000004E-3</v>
      </c>
      <c r="N5" s="18">
        <v>0.52534040000000004</v>
      </c>
    </row>
    <row r="6" spans="1:14" x14ac:dyDescent="0.35">
      <c r="A6" s="16"/>
      <c r="B6" s="16">
        <v>2</v>
      </c>
      <c r="C6" s="17">
        <v>44313.886805555558</v>
      </c>
      <c r="D6" s="16" t="s">
        <v>8</v>
      </c>
      <c r="E6" s="16" t="s">
        <v>10</v>
      </c>
      <c r="F6" s="16" t="s">
        <v>11</v>
      </c>
      <c r="G6" s="16" t="s">
        <v>12</v>
      </c>
      <c r="H6" s="18">
        <v>0.52</v>
      </c>
      <c r="I6" s="19">
        <v>574.04</v>
      </c>
      <c r="J6" s="19">
        <v>300.00079999999997</v>
      </c>
      <c r="K6" s="19">
        <v>1.5</v>
      </c>
      <c r="L6" s="16">
        <v>1</v>
      </c>
      <c r="M6" s="18">
        <v>0</v>
      </c>
      <c r="N6" s="18">
        <v>0.52</v>
      </c>
    </row>
    <row r="7" spans="1:14" x14ac:dyDescent="0.35">
      <c r="A7" s="16"/>
      <c r="B7" s="16">
        <v>5</v>
      </c>
      <c r="C7" s="17">
        <v>44313.887499999997</v>
      </c>
      <c r="D7" s="16" t="s">
        <v>8</v>
      </c>
      <c r="E7" s="16" t="s">
        <v>10</v>
      </c>
      <c r="F7" s="16" t="s">
        <v>11</v>
      </c>
      <c r="G7" s="16" t="s">
        <v>14</v>
      </c>
      <c r="H7" s="18">
        <v>17.93</v>
      </c>
      <c r="I7" s="19">
        <v>16.64</v>
      </c>
      <c r="J7" s="19">
        <v>299.85520000000002</v>
      </c>
      <c r="K7" s="19">
        <v>1.5</v>
      </c>
      <c r="L7" s="16">
        <v>1</v>
      </c>
      <c r="M7" s="18">
        <v>34.71</v>
      </c>
      <c r="N7" s="18">
        <v>52.64</v>
      </c>
    </row>
    <row r="8" spans="1:14" x14ac:dyDescent="0.35">
      <c r="A8" s="16"/>
      <c r="B8" s="16">
        <v>3</v>
      </c>
      <c r="C8" s="17">
        <v>44313.888888888891</v>
      </c>
      <c r="D8" s="16" t="s">
        <v>13</v>
      </c>
      <c r="E8" s="16" t="s">
        <v>10</v>
      </c>
      <c r="F8" s="16" t="s">
        <v>11</v>
      </c>
      <c r="G8" s="16" t="s">
        <v>12</v>
      </c>
      <c r="H8" s="18">
        <v>1.04</v>
      </c>
      <c r="I8" s="19">
        <v>561.54999999999995</v>
      </c>
      <c r="J8" s="19">
        <v>582.51199999999994</v>
      </c>
      <c r="K8" s="19">
        <v>1.5</v>
      </c>
      <c r="L8" s="16">
        <v>1</v>
      </c>
      <c r="M8" s="18">
        <v>0</v>
      </c>
      <c r="N8" s="18">
        <v>-1.04</v>
      </c>
    </row>
    <row r="9" spans="1:14" x14ac:dyDescent="0.35">
      <c r="A9" s="16"/>
      <c r="B9" s="16">
        <v>4</v>
      </c>
      <c r="C9" s="17">
        <v>44313.890277777777</v>
      </c>
      <c r="D9" s="16" t="s">
        <v>8</v>
      </c>
      <c r="E9" s="16" t="s">
        <v>10</v>
      </c>
      <c r="F9" s="16" t="s">
        <v>11</v>
      </c>
      <c r="G9" s="16" t="s">
        <v>14</v>
      </c>
      <c r="H9" s="18">
        <v>34.71</v>
      </c>
      <c r="I9" s="19">
        <v>16.649999999999999</v>
      </c>
      <c r="J9" s="19">
        <v>580.83149999999989</v>
      </c>
      <c r="K9" s="19">
        <v>2.91</v>
      </c>
      <c r="L9" s="16">
        <v>1</v>
      </c>
      <c r="M9" s="18">
        <v>0.52</v>
      </c>
      <c r="N9" s="18">
        <v>35.230000000000004</v>
      </c>
    </row>
    <row r="10" spans="1:14" x14ac:dyDescent="0.35">
      <c r="A10" s="16"/>
      <c r="B10" s="16">
        <v>9</v>
      </c>
      <c r="C10" s="17">
        <v>44318.92083333333</v>
      </c>
      <c r="D10" s="16" t="s">
        <v>8</v>
      </c>
      <c r="E10" s="16" t="s">
        <v>10</v>
      </c>
      <c r="F10" s="16" t="s">
        <v>15</v>
      </c>
      <c r="G10" s="16" t="s">
        <v>18</v>
      </c>
      <c r="H10" s="18">
        <v>0.13897799999999999</v>
      </c>
      <c r="I10" s="19">
        <v>3021.5</v>
      </c>
      <c r="J10" s="19">
        <v>419.92202699999996</v>
      </c>
      <c r="K10" s="19">
        <v>0</v>
      </c>
      <c r="L10" s="16">
        <v>1</v>
      </c>
      <c r="M10" s="18">
        <v>599</v>
      </c>
      <c r="N10" s="18">
        <v>599.13897799999995</v>
      </c>
    </row>
    <row r="11" spans="1:14" x14ac:dyDescent="0.35">
      <c r="A11" s="16"/>
      <c r="B11" s="16">
        <v>7</v>
      </c>
      <c r="C11" s="17">
        <v>44319.083333333336</v>
      </c>
      <c r="D11" s="16" t="s">
        <v>13</v>
      </c>
      <c r="E11" s="16" t="s">
        <v>10</v>
      </c>
      <c r="F11" s="16" t="s">
        <v>15</v>
      </c>
      <c r="G11" s="16" t="s">
        <v>16</v>
      </c>
      <c r="H11" s="18">
        <v>599</v>
      </c>
      <c r="I11" s="19">
        <v>0.39</v>
      </c>
      <c r="J11" s="19">
        <v>233.61</v>
      </c>
      <c r="K11" s="19">
        <v>0</v>
      </c>
      <c r="L11" s="16">
        <v>1</v>
      </c>
      <c r="M11" s="18">
        <v>0</v>
      </c>
      <c r="N11" s="18">
        <v>-599</v>
      </c>
    </row>
    <row r="12" spans="1:14" x14ac:dyDescent="0.35">
      <c r="A12" s="16"/>
      <c r="B12" s="16">
        <v>10</v>
      </c>
      <c r="C12" s="17">
        <v>44325.549305555556</v>
      </c>
      <c r="D12" s="16" t="s">
        <v>8</v>
      </c>
      <c r="E12" s="16" t="s">
        <v>10</v>
      </c>
      <c r="F12" s="16" t="s">
        <v>19</v>
      </c>
      <c r="G12" s="16" t="s">
        <v>20</v>
      </c>
      <c r="H12" s="18">
        <v>735.03892900000005</v>
      </c>
      <c r="I12" s="19">
        <v>1.34</v>
      </c>
      <c r="J12" s="19">
        <v>999.6321648600001</v>
      </c>
      <c r="K12" s="19">
        <v>14.68</v>
      </c>
      <c r="L12" s="16">
        <v>1</v>
      </c>
      <c r="M12" s="18">
        <v>0</v>
      </c>
      <c r="N12" s="18">
        <v>735.03892900000005</v>
      </c>
    </row>
    <row r="13" spans="1:14" x14ac:dyDescent="0.35">
      <c r="A13" s="16"/>
      <c r="B13" s="16">
        <v>12</v>
      </c>
      <c r="C13" s="17">
        <v>44325.561111111114</v>
      </c>
      <c r="D13" s="16" t="s">
        <v>8</v>
      </c>
      <c r="E13" s="16" t="s">
        <v>10</v>
      </c>
      <c r="F13" s="16" t="s">
        <v>11</v>
      </c>
      <c r="G13" s="16" t="s">
        <v>22</v>
      </c>
      <c r="H13" s="18">
        <v>1031</v>
      </c>
      <c r="I13" s="19">
        <v>0.94</v>
      </c>
      <c r="J13" s="19">
        <v>974.03</v>
      </c>
      <c r="K13" s="19">
        <v>4.8899999999999997</v>
      </c>
      <c r="L13" s="16">
        <v>1</v>
      </c>
      <c r="M13" s="18">
        <v>0</v>
      </c>
      <c r="N13" s="18">
        <v>1031</v>
      </c>
    </row>
    <row r="14" spans="1:14" x14ac:dyDescent="0.35">
      <c r="A14" s="16"/>
      <c r="B14" s="16">
        <v>11</v>
      </c>
      <c r="C14" s="17">
        <v>44325.561805555553</v>
      </c>
      <c r="D14" s="16" t="s">
        <v>8</v>
      </c>
      <c r="E14" s="16" t="s">
        <v>10</v>
      </c>
      <c r="F14" s="16" t="s">
        <v>11</v>
      </c>
      <c r="G14" s="16" t="s">
        <v>21</v>
      </c>
      <c r="H14" s="18">
        <v>4491</v>
      </c>
      <c r="I14" s="19">
        <v>0.21</v>
      </c>
      <c r="J14" s="19">
        <v>948</v>
      </c>
      <c r="K14" s="19">
        <v>4.8899999999999997</v>
      </c>
      <c r="L14" s="16">
        <v>1</v>
      </c>
      <c r="M14" s="18">
        <v>0</v>
      </c>
      <c r="N14" s="18">
        <v>4491</v>
      </c>
    </row>
    <row r="15" spans="1:14" x14ac:dyDescent="0.35">
      <c r="A15" s="16"/>
      <c r="B15" s="16">
        <v>13</v>
      </c>
      <c r="C15" s="17">
        <v>44326.71875</v>
      </c>
      <c r="D15" s="16" t="s">
        <v>13</v>
      </c>
      <c r="E15" s="16" t="s">
        <v>10</v>
      </c>
      <c r="F15" s="16" t="s">
        <v>15</v>
      </c>
      <c r="G15" s="16" t="s">
        <v>18</v>
      </c>
      <c r="H15" s="18">
        <v>0.13897799999999999</v>
      </c>
      <c r="I15" s="19">
        <v>4177.34</v>
      </c>
      <c r="J15" s="19">
        <v>580.55835851999996</v>
      </c>
      <c r="K15" s="19">
        <v>0</v>
      </c>
      <c r="L15" s="16">
        <v>1</v>
      </c>
      <c r="M15" s="18">
        <v>5.3404000000000004E-3</v>
      </c>
      <c r="N15" s="18">
        <v>-0.1336376</v>
      </c>
    </row>
    <row r="16" spans="1:14" x14ac:dyDescent="0.35">
      <c r="A16" s="16"/>
      <c r="B16" s="16">
        <v>15</v>
      </c>
      <c r="C16" s="17">
        <v>44334.802777777775</v>
      </c>
      <c r="D16" s="16" t="s">
        <v>8</v>
      </c>
      <c r="E16" s="16" t="s">
        <v>10</v>
      </c>
      <c r="F16" s="16" t="s">
        <v>11</v>
      </c>
      <c r="G16" s="16" t="s">
        <v>17</v>
      </c>
      <c r="H16" s="18">
        <v>2.3217999999999999E-2</v>
      </c>
      <c r="I16" s="19">
        <v>42854.68</v>
      </c>
      <c r="J16" s="19">
        <v>999.99996023999995</v>
      </c>
      <c r="K16" s="19">
        <v>5</v>
      </c>
      <c r="L16" s="16">
        <v>1</v>
      </c>
      <c r="M16" s="18">
        <v>0</v>
      </c>
      <c r="N16" s="18">
        <v>2.3217999999999999E-2</v>
      </c>
    </row>
    <row r="17" spans="1:14" x14ac:dyDescent="0.35">
      <c r="A17" s="16"/>
      <c r="B17" s="16">
        <v>16</v>
      </c>
      <c r="C17" s="17">
        <v>44335.243055555555</v>
      </c>
      <c r="D17" s="16" t="s">
        <v>8</v>
      </c>
      <c r="E17" s="16" t="s">
        <v>10</v>
      </c>
      <c r="F17" s="16" t="s">
        <v>11</v>
      </c>
      <c r="G17" s="16" t="s">
        <v>12</v>
      </c>
      <c r="H17" s="18">
        <v>2.3199999999999998</v>
      </c>
      <c r="I17" s="19">
        <v>428.87</v>
      </c>
      <c r="J17" s="19">
        <v>999.97839999999997</v>
      </c>
      <c r="K17" s="19">
        <v>5</v>
      </c>
      <c r="L17" s="16">
        <v>1</v>
      </c>
      <c r="M17" s="18">
        <v>0</v>
      </c>
      <c r="N17" s="18">
        <v>2.3199999999999998</v>
      </c>
    </row>
    <row r="18" spans="1:14" x14ac:dyDescent="0.35">
      <c r="A18" s="16"/>
      <c r="B18" s="16">
        <v>17</v>
      </c>
      <c r="C18" s="17">
        <v>44335.411111111112</v>
      </c>
      <c r="D18" s="16" t="s">
        <v>8</v>
      </c>
      <c r="E18" s="16" t="s">
        <v>10</v>
      </c>
      <c r="F18" s="16" t="s">
        <v>11</v>
      </c>
      <c r="G18" s="16" t="s">
        <v>17</v>
      </c>
      <c r="H18" s="18">
        <v>2.8000000000000001E-2</v>
      </c>
      <c r="I18" s="19">
        <v>35579.269999999997</v>
      </c>
      <c r="J18" s="19">
        <v>996.21955999999989</v>
      </c>
      <c r="K18" s="19">
        <v>0</v>
      </c>
      <c r="L18" s="16">
        <v>1</v>
      </c>
      <c r="M18" s="18">
        <v>2.3217999999999999E-2</v>
      </c>
      <c r="N18" s="18">
        <v>5.1218E-2</v>
      </c>
    </row>
    <row r="19" spans="1:14" x14ac:dyDescent="0.35">
      <c r="A19" s="16"/>
      <c r="B19" s="16">
        <v>18</v>
      </c>
      <c r="C19" s="17">
        <v>44335.411111111112</v>
      </c>
      <c r="D19" s="16" t="s">
        <v>23</v>
      </c>
      <c r="E19" s="16" t="s">
        <v>60</v>
      </c>
      <c r="F19" s="16" t="s">
        <v>11</v>
      </c>
      <c r="G19" s="16" t="s">
        <v>12</v>
      </c>
      <c r="H19" s="18">
        <v>2.1600999999999999E-3</v>
      </c>
      <c r="I19" s="19">
        <v>354.78</v>
      </c>
      <c r="J19" s="19">
        <v>0.76636027799999984</v>
      </c>
      <c r="K19" s="19">
        <v>0</v>
      </c>
      <c r="L19" s="16">
        <v>1</v>
      </c>
      <c r="M19" s="18">
        <v>2.3199999999999998</v>
      </c>
      <c r="N19" s="18">
        <v>2.3178398999999996</v>
      </c>
    </row>
    <row r="20" spans="1:14" x14ac:dyDescent="0.35">
      <c r="A20" s="16"/>
      <c r="B20" s="16">
        <v>19</v>
      </c>
      <c r="C20" s="17">
        <v>44335.48541666667</v>
      </c>
      <c r="D20" s="16" t="s">
        <v>13</v>
      </c>
      <c r="E20" s="16" t="s">
        <v>10</v>
      </c>
      <c r="F20" s="16" t="s">
        <v>11</v>
      </c>
      <c r="G20" s="16" t="s">
        <v>22</v>
      </c>
      <c r="H20" s="18">
        <v>109.7</v>
      </c>
      <c r="I20" s="19">
        <v>2.17</v>
      </c>
      <c r="J20" s="19">
        <v>238.04900000000001</v>
      </c>
      <c r="K20" s="19">
        <v>0</v>
      </c>
      <c r="L20" s="16">
        <v>1</v>
      </c>
      <c r="M20" s="18">
        <v>1031</v>
      </c>
      <c r="N20" s="18">
        <v>921.3</v>
      </c>
    </row>
    <row r="21" spans="1:14" x14ac:dyDescent="0.35">
      <c r="A21" s="16"/>
      <c r="B21" s="16">
        <v>20</v>
      </c>
      <c r="C21" s="17">
        <v>44335.48541666667</v>
      </c>
      <c r="D21" s="16" t="s">
        <v>23</v>
      </c>
      <c r="E21" s="16" t="s">
        <v>61</v>
      </c>
      <c r="F21" s="16" t="s">
        <v>11</v>
      </c>
      <c r="G21" s="16" t="s">
        <v>12</v>
      </c>
      <c r="H21" s="18">
        <v>4.7919999999999999E-4</v>
      </c>
      <c r="I21" s="19">
        <v>373.47</v>
      </c>
      <c r="J21" s="19">
        <v>0.178966824</v>
      </c>
      <c r="K21" s="19">
        <v>0</v>
      </c>
      <c r="L21" s="16">
        <v>1</v>
      </c>
      <c r="M21" s="18">
        <v>2.3178399299999999</v>
      </c>
      <c r="N21" s="18">
        <v>2.3173607299999999</v>
      </c>
    </row>
    <row r="22" spans="1:14" x14ac:dyDescent="0.35">
      <c r="A22" s="16"/>
      <c r="B22" s="16">
        <v>21</v>
      </c>
      <c r="C22" s="17">
        <v>44335.48541666667</v>
      </c>
      <c r="D22" s="16" t="s">
        <v>13</v>
      </c>
      <c r="E22" s="16" t="s">
        <v>10</v>
      </c>
      <c r="F22" s="16" t="s">
        <v>11</v>
      </c>
      <c r="G22" s="16" t="s">
        <v>22</v>
      </c>
      <c r="H22" s="18">
        <v>921.3</v>
      </c>
      <c r="I22" s="19">
        <v>2.17</v>
      </c>
      <c r="J22" s="19">
        <v>1999.2209999999998</v>
      </c>
      <c r="K22" s="19">
        <v>0</v>
      </c>
      <c r="L22" s="16">
        <v>1</v>
      </c>
      <c r="M22" s="18">
        <v>921.3</v>
      </c>
      <c r="N22" s="18">
        <v>0</v>
      </c>
    </row>
    <row r="23" spans="1:14" x14ac:dyDescent="0.35">
      <c r="A23" s="16"/>
      <c r="B23" s="16">
        <v>22</v>
      </c>
      <c r="C23" s="17">
        <v>44335.48541666667</v>
      </c>
      <c r="D23" s="16" t="s">
        <v>23</v>
      </c>
      <c r="E23" s="16" t="s">
        <v>61</v>
      </c>
      <c r="F23" s="16" t="s">
        <v>11</v>
      </c>
      <c r="G23" s="16" t="s">
        <v>12</v>
      </c>
      <c r="H23" s="18">
        <v>4.0276000000000001E-3</v>
      </c>
      <c r="I23" s="19">
        <v>373.47</v>
      </c>
      <c r="J23" s="19">
        <v>1.5041877720000001</v>
      </c>
      <c r="K23" s="19">
        <v>0</v>
      </c>
      <c r="L23" s="16">
        <v>1</v>
      </c>
      <c r="M23" s="18">
        <v>2.3173606899999899</v>
      </c>
      <c r="N23" s="18">
        <v>2.3133330899999898</v>
      </c>
    </row>
    <row r="24" spans="1:14" x14ac:dyDescent="0.35">
      <c r="A24" s="16"/>
      <c r="B24" s="16">
        <v>24</v>
      </c>
      <c r="C24" s="17">
        <v>44335.545138888891</v>
      </c>
      <c r="D24" s="16" t="s">
        <v>23</v>
      </c>
      <c r="E24" s="16" t="s">
        <v>62</v>
      </c>
      <c r="F24" s="16" t="s">
        <v>11</v>
      </c>
      <c r="G24" s="16" t="s">
        <v>12</v>
      </c>
      <c r="H24" s="18">
        <v>7.4999999999999993E-5</v>
      </c>
      <c r="I24" s="19">
        <v>401.55</v>
      </c>
      <c r="J24" s="19">
        <v>3.0116249999999997E-2</v>
      </c>
      <c r="K24" s="19">
        <v>0</v>
      </c>
      <c r="L24" s="16">
        <v>1</v>
      </c>
      <c r="M24" s="18">
        <v>7.8632580699999997</v>
      </c>
      <c r="N24" s="18">
        <v>7.8631830699999998</v>
      </c>
    </row>
    <row r="25" spans="1:14" x14ac:dyDescent="0.35">
      <c r="A25" s="16"/>
      <c r="B25" s="16">
        <v>25</v>
      </c>
      <c r="C25" s="17">
        <v>44335.546527777777</v>
      </c>
      <c r="D25" s="16" t="s">
        <v>23</v>
      </c>
      <c r="E25" s="16" t="s">
        <v>62</v>
      </c>
      <c r="F25" s="16" t="s">
        <v>11</v>
      </c>
      <c r="G25" s="16" t="s">
        <v>12</v>
      </c>
      <c r="H25" s="18">
        <v>7.4999999999999993E-5</v>
      </c>
      <c r="I25" s="19">
        <v>401.92</v>
      </c>
      <c r="J25" s="19">
        <v>3.0143999999999997E-2</v>
      </c>
      <c r="K25" s="19">
        <v>0</v>
      </c>
      <c r="L25" s="16">
        <v>1</v>
      </c>
      <c r="M25" s="18">
        <v>7.8631830699999998</v>
      </c>
      <c r="N25" s="18">
        <v>7.86310807</v>
      </c>
    </row>
    <row r="26" spans="1:14" ht="58" x14ac:dyDescent="0.35">
      <c r="A26" s="16"/>
      <c r="B26" s="16">
        <v>26</v>
      </c>
      <c r="C26" s="17">
        <v>44335.558333333334</v>
      </c>
      <c r="D26" s="16" t="s">
        <v>23</v>
      </c>
      <c r="E26" s="16" t="s">
        <v>63</v>
      </c>
      <c r="F26" s="16" t="s">
        <v>24</v>
      </c>
      <c r="G26" s="16" t="s">
        <v>12</v>
      </c>
      <c r="H26" s="18">
        <v>2.1180999999999999E-3</v>
      </c>
      <c r="I26" s="19">
        <v>407.84</v>
      </c>
      <c r="J26" s="19">
        <v>0.86384590399999994</v>
      </c>
      <c r="K26" s="19">
        <v>0</v>
      </c>
      <c r="L26" s="16">
        <v>1</v>
      </c>
      <c r="M26" s="18">
        <v>7.8610649536562498</v>
      </c>
      <c r="N26" s="18">
        <v>7.8589468536562501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82DD8-F467-4D29-B7DD-DEFACAB6C48D}">
  <sheetPr codeName="Sheet6"/>
  <dimension ref="A1"/>
  <sheetViews>
    <sheetView workbookViewId="0">
      <selection activeCell="G14" sqref="G14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reateTxnTables">
                <anchor moveWithCells="1" sizeWithCells="1">
                  <from>
                    <xdr:col>1</xdr:col>
                    <xdr:colOff>361950</xdr:colOff>
                    <xdr:row>6</xdr:row>
                    <xdr:rowOff>38100</xdr:rowOff>
                  </from>
                  <to>
                    <xdr:col>5</xdr:col>
                    <xdr:colOff>406400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49BD8-26CF-4286-947B-90FB824D47DD}">
  <dimension ref="A1:W14"/>
  <sheetViews>
    <sheetView topLeftCell="T1" workbookViewId="0"/>
  </sheetViews>
  <sheetFormatPr defaultRowHeight="14.5" x14ac:dyDescent="0.35"/>
  <cols>
    <col min="1" max="9" width="10.26953125" customWidth="1"/>
    <col min="10" max="11" width="11.26953125" customWidth="1"/>
    <col min="13" max="21" width="10.26953125" customWidth="1"/>
    <col min="22" max="23" width="11.26953125" customWidth="1"/>
  </cols>
  <sheetData>
    <row r="1" spans="1:23" x14ac:dyDescent="0.35">
      <c r="A1" s="12">
        <v>2020</v>
      </c>
      <c r="B1" s="12"/>
      <c r="C1" s="12"/>
      <c r="D1" s="12"/>
      <c r="E1" s="12"/>
      <c r="F1" s="12"/>
      <c r="G1" s="12"/>
      <c r="H1" s="12"/>
      <c r="I1" s="12"/>
      <c r="M1" s="12">
        <v>2021</v>
      </c>
      <c r="N1" s="12"/>
      <c r="O1" s="12"/>
      <c r="P1" s="12"/>
      <c r="Q1" s="12"/>
      <c r="R1" s="12"/>
      <c r="S1" s="12"/>
      <c r="T1" s="12"/>
      <c r="U1" s="12"/>
    </row>
    <row r="2" spans="1:23" x14ac:dyDescent="0.35">
      <c r="A2" t="s">
        <v>3</v>
      </c>
      <c r="B2" t="s">
        <v>37</v>
      </c>
      <c r="C2" t="s">
        <v>41</v>
      </c>
      <c r="D2" t="s">
        <v>46</v>
      </c>
      <c r="E2" t="s">
        <v>68</v>
      </c>
      <c r="F2" t="s">
        <v>69</v>
      </c>
      <c r="G2" t="s">
        <v>34</v>
      </c>
      <c r="H2" t="s">
        <v>38</v>
      </c>
      <c r="I2" t="s">
        <v>35</v>
      </c>
      <c r="J2" t="s">
        <v>39</v>
      </c>
      <c r="K2" t="s">
        <v>72</v>
      </c>
      <c r="M2" t="s">
        <v>3</v>
      </c>
      <c r="N2" t="s">
        <v>37</v>
      </c>
      <c r="O2" t="s">
        <v>41</v>
      </c>
      <c r="P2" t="s">
        <v>46</v>
      </c>
      <c r="Q2" t="s">
        <v>68</v>
      </c>
      <c r="R2" t="s">
        <v>69</v>
      </c>
      <c r="S2" t="s">
        <v>34</v>
      </c>
      <c r="T2" t="s">
        <v>38</v>
      </c>
      <c r="U2" t="s">
        <v>35</v>
      </c>
      <c r="V2" t="s">
        <v>39</v>
      </c>
      <c r="W2" t="s">
        <v>72</v>
      </c>
    </row>
    <row r="3" spans="1:23" x14ac:dyDescent="0.35">
      <c r="A3" s="4" t="s">
        <v>17</v>
      </c>
      <c r="B3" s="8">
        <v>44155.667361111111</v>
      </c>
      <c r="C3" s="4">
        <v>5.3404000000000004E-3</v>
      </c>
      <c r="D3" s="6">
        <v>57524.83</v>
      </c>
      <c r="E3" s="6">
        <v>99.938269652000002</v>
      </c>
      <c r="F3" s="6">
        <v>307.20560213200002</v>
      </c>
      <c r="G3" s="6">
        <v>207.27</v>
      </c>
      <c r="H3" s="4">
        <v>0</v>
      </c>
      <c r="I3" s="6">
        <v>0</v>
      </c>
      <c r="J3" s="4">
        <v>0</v>
      </c>
      <c r="K3" s="6">
        <v>207.27</v>
      </c>
      <c r="M3" s="4" t="s">
        <v>16</v>
      </c>
      <c r="N3" s="8">
        <v>44319.083333333336</v>
      </c>
      <c r="O3" s="4">
        <v>599</v>
      </c>
      <c r="P3" s="6">
        <v>0.39</v>
      </c>
      <c r="Q3" s="6">
        <v>47.92</v>
      </c>
      <c r="R3" s="6">
        <v>233.61</v>
      </c>
      <c r="S3" s="6">
        <v>185.69</v>
      </c>
      <c r="T3" s="4">
        <v>0</v>
      </c>
      <c r="U3" s="6">
        <v>0</v>
      </c>
      <c r="V3" s="4">
        <v>0</v>
      </c>
      <c r="W3" s="6">
        <v>185.69</v>
      </c>
    </row>
    <row r="4" spans="1:23" x14ac:dyDescent="0.35">
      <c r="A4" s="4"/>
      <c r="B4" s="8"/>
      <c r="C4" s="4"/>
      <c r="D4" s="6"/>
      <c r="E4" s="4"/>
      <c r="F4" s="4"/>
      <c r="G4" s="6"/>
      <c r="H4" s="4"/>
      <c r="I4" s="6"/>
      <c r="J4" s="4"/>
      <c r="K4" s="6"/>
      <c r="M4" s="4" t="s">
        <v>12</v>
      </c>
      <c r="N4" s="8">
        <v>44313.888888888891</v>
      </c>
      <c r="O4" s="4">
        <v>1.04</v>
      </c>
      <c r="P4" s="6">
        <v>561.54999999999995</v>
      </c>
      <c r="Q4" s="4">
        <v>597.00160000000005</v>
      </c>
      <c r="R4" s="4">
        <v>584.01199999999994</v>
      </c>
      <c r="S4" s="6">
        <v>0</v>
      </c>
      <c r="T4" s="4">
        <v>0</v>
      </c>
      <c r="U4" s="6">
        <v>-12.98</v>
      </c>
      <c r="V4" s="4">
        <v>0</v>
      </c>
      <c r="W4" s="6">
        <v>-12.98</v>
      </c>
    </row>
    <row r="5" spans="1:23" x14ac:dyDescent="0.35">
      <c r="M5" s="4" t="s">
        <v>12</v>
      </c>
      <c r="N5" s="8">
        <v>44335.411111111112</v>
      </c>
      <c r="O5" s="4">
        <v>2.1600999999999999E-3</v>
      </c>
      <c r="P5" s="6">
        <v>354.78</v>
      </c>
      <c r="Q5" s="6">
        <v>0.93</v>
      </c>
      <c r="R5" s="4">
        <v>0.76636027799999984</v>
      </c>
      <c r="S5" s="6">
        <v>0</v>
      </c>
      <c r="T5" s="4">
        <v>0</v>
      </c>
      <c r="U5" s="6">
        <v>-0.16</v>
      </c>
      <c r="V5" s="4">
        <v>0</v>
      </c>
      <c r="W5" s="6">
        <v>-0.16</v>
      </c>
    </row>
    <row r="6" spans="1:23" x14ac:dyDescent="0.35">
      <c r="M6" s="4" t="s">
        <v>12</v>
      </c>
      <c r="N6" s="8">
        <v>44335.48541666667</v>
      </c>
      <c r="O6" s="4">
        <v>4.7919999999999999E-4</v>
      </c>
      <c r="P6" s="6">
        <v>373.47</v>
      </c>
      <c r="Q6" s="6">
        <v>0.21</v>
      </c>
      <c r="R6" s="4">
        <v>0.178966824</v>
      </c>
      <c r="S6" s="6">
        <v>0</v>
      </c>
      <c r="T6" s="4">
        <v>0</v>
      </c>
      <c r="U6" s="6">
        <v>-0.03</v>
      </c>
      <c r="V6" s="4">
        <v>0</v>
      </c>
      <c r="W6" s="6">
        <v>-0.03</v>
      </c>
    </row>
    <row r="7" spans="1:23" x14ac:dyDescent="0.35">
      <c r="M7" s="4" t="s">
        <v>12</v>
      </c>
      <c r="N7" s="8">
        <v>44335.48541666667</v>
      </c>
      <c r="O7" s="4">
        <v>4.0276000000000001E-3</v>
      </c>
      <c r="P7" s="6">
        <v>373.47</v>
      </c>
      <c r="Q7" s="6">
        <v>1.74</v>
      </c>
      <c r="R7" s="4">
        <v>1.5041877720000001</v>
      </c>
      <c r="S7" s="6">
        <v>0</v>
      </c>
      <c r="T7" s="4">
        <v>0</v>
      </c>
      <c r="U7" s="6">
        <v>-0.23</v>
      </c>
      <c r="V7" s="4">
        <v>0</v>
      </c>
      <c r="W7" s="6">
        <v>-0.23</v>
      </c>
    </row>
    <row r="8" spans="1:23" x14ac:dyDescent="0.35">
      <c r="M8" s="4" t="s">
        <v>12</v>
      </c>
      <c r="N8" s="8">
        <v>44335.545138888891</v>
      </c>
      <c r="O8" s="4">
        <v>7.4999999999999993E-5</v>
      </c>
      <c r="P8" s="6">
        <v>401.55</v>
      </c>
      <c r="Q8" s="6">
        <v>0.03</v>
      </c>
      <c r="R8" s="4">
        <v>3.0116249999999997E-2</v>
      </c>
      <c r="S8" s="6">
        <v>0</v>
      </c>
      <c r="T8" s="4">
        <v>0</v>
      </c>
      <c r="U8" s="6">
        <v>0</v>
      </c>
      <c r="V8" s="4">
        <v>0</v>
      </c>
      <c r="W8" s="6">
        <v>0</v>
      </c>
    </row>
    <row r="9" spans="1:23" x14ac:dyDescent="0.35">
      <c r="M9" s="4" t="s">
        <v>12</v>
      </c>
      <c r="N9" s="8">
        <v>44335.546527777777</v>
      </c>
      <c r="O9" s="4">
        <v>7.4999999999999993E-5</v>
      </c>
      <c r="P9" s="6">
        <v>401.92</v>
      </c>
      <c r="Q9" s="6">
        <v>0.03</v>
      </c>
      <c r="R9" s="4">
        <v>3.0143999999999997E-2</v>
      </c>
      <c r="S9" s="6">
        <v>0</v>
      </c>
      <c r="T9" s="4">
        <v>0</v>
      </c>
      <c r="U9" s="6">
        <v>0</v>
      </c>
      <c r="V9" s="4">
        <v>0</v>
      </c>
      <c r="W9" s="6">
        <v>0</v>
      </c>
    </row>
    <row r="10" spans="1:23" x14ac:dyDescent="0.35">
      <c r="M10" s="4" t="s">
        <v>12</v>
      </c>
      <c r="N10" s="8">
        <v>44335.558333333334</v>
      </c>
      <c r="O10" s="4">
        <v>2.1180999999999999E-3</v>
      </c>
      <c r="P10" s="6">
        <v>407.84</v>
      </c>
      <c r="Q10" s="6">
        <v>0.91</v>
      </c>
      <c r="R10" s="4">
        <v>0.86384590399999994</v>
      </c>
      <c r="S10" s="6">
        <v>0</v>
      </c>
      <c r="T10" s="4">
        <v>0</v>
      </c>
      <c r="U10" s="6">
        <v>-0.05</v>
      </c>
      <c r="V10" s="4">
        <v>0</v>
      </c>
      <c r="W10" s="6">
        <v>-0.05</v>
      </c>
    </row>
    <row r="11" spans="1:23" x14ac:dyDescent="0.35">
      <c r="M11" s="4" t="s">
        <v>18</v>
      </c>
      <c r="N11" s="8">
        <v>44326.71875</v>
      </c>
      <c r="O11" s="4">
        <v>0.13897799999999999</v>
      </c>
      <c r="P11" s="6">
        <v>4177.34</v>
      </c>
      <c r="Q11" s="6">
        <v>419.92202699999996</v>
      </c>
      <c r="R11" s="4">
        <v>580.55835851999996</v>
      </c>
      <c r="S11" s="6">
        <v>160.63999999999999</v>
      </c>
      <c r="T11" s="4">
        <v>0</v>
      </c>
      <c r="U11" s="6">
        <v>0</v>
      </c>
      <c r="V11" s="4">
        <v>0</v>
      </c>
      <c r="W11" s="6">
        <v>160.63999999999999</v>
      </c>
    </row>
    <row r="12" spans="1:23" x14ac:dyDescent="0.35">
      <c r="M12" s="4" t="s">
        <v>22</v>
      </c>
      <c r="N12" s="8">
        <v>44335.48541666667</v>
      </c>
      <c r="O12" s="4">
        <v>109.7</v>
      </c>
      <c r="P12" s="6">
        <v>2.17</v>
      </c>
      <c r="Q12" s="6">
        <v>103.11800000000001</v>
      </c>
      <c r="R12" s="4">
        <v>238.04900000000001</v>
      </c>
      <c r="S12" s="6">
        <v>134.93</v>
      </c>
      <c r="T12" s="4">
        <v>0</v>
      </c>
      <c r="U12" s="6">
        <v>0</v>
      </c>
      <c r="V12" s="4">
        <v>0</v>
      </c>
      <c r="W12" s="6">
        <v>134.93</v>
      </c>
    </row>
    <row r="13" spans="1:23" x14ac:dyDescent="0.35">
      <c r="M13" s="4" t="s">
        <v>22</v>
      </c>
      <c r="N13" s="8">
        <v>44335.48541666667</v>
      </c>
      <c r="O13" s="4">
        <v>921.3</v>
      </c>
      <c r="P13" s="6">
        <v>2.17</v>
      </c>
      <c r="Q13" s="6">
        <v>866.02199999999993</v>
      </c>
      <c r="R13" s="4">
        <v>1999.2209999999998</v>
      </c>
      <c r="S13" s="6">
        <v>1133.2</v>
      </c>
      <c r="T13" s="4">
        <v>0</v>
      </c>
      <c r="U13" s="6">
        <v>0</v>
      </c>
      <c r="V13" s="4">
        <v>0</v>
      </c>
      <c r="W13" s="6">
        <v>1133.2</v>
      </c>
    </row>
    <row r="14" spans="1:23" x14ac:dyDescent="0.35">
      <c r="M14" s="4"/>
      <c r="N14" s="8"/>
      <c r="O14" s="4"/>
      <c r="P14" s="6"/>
      <c r="Q14" s="6"/>
      <c r="R14" s="4"/>
      <c r="S14" s="6"/>
      <c r="T14" s="4"/>
      <c r="U14" s="6"/>
      <c r="V14" s="4"/>
      <c r="W14" s="6"/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25BA5-F81E-4492-9050-FC88C550B537}">
  <dimension ref="A1:Q10"/>
  <sheetViews>
    <sheetView topLeftCell="Q1" workbookViewId="0">
      <selection activeCell="Y10" sqref="Y10"/>
    </sheetView>
  </sheetViews>
  <sheetFormatPr defaultRowHeight="14.5" x14ac:dyDescent="0.35"/>
  <cols>
    <col min="1" max="6" width="10.26953125" customWidth="1"/>
    <col min="10" max="15" width="10.26953125" customWidth="1"/>
    <col min="16" max="16" width="9.453125" bestFit="1" customWidth="1"/>
    <col min="17" max="17" width="9.36328125" bestFit="1" customWidth="1"/>
  </cols>
  <sheetData>
    <row r="1" spans="1:17" x14ac:dyDescent="0.35">
      <c r="A1" s="12">
        <v>2020</v>
      </c>
      <c r="B1" s="12"/>
      <c r="C1" s="12"/>
      <c r="D1" s="12"/>
      <c r="E1" s="12"/>
      <c r="J1" s="12">
        <v>2021</v>
      </c>
      <c r="K1" s="12"/>
      <c r="L1" s="12"/>
      <c r="M1" s="12"/>
      <c r="N1" s="12"/>
    </row>
    <row r="2" spans="1:17" x14ac:dyDescent="0.35">
      <c r="A2" t="s">
        <v>55</v>
      </c>
      <c r="B2" t="s">
        <v>56</v>
      </c>
      <c r="C2" t="s">
        <v>48</v>
      </c>
      <c r="D2" t="s">
        <v>49</v>
      </c>
      <c r="E2" t="s">
        <v>47</v>
      </c>
      <c r="F2" t="s">
        <v>51</v>
      </c>
      <c r="G2" t="s">
        <v>64</v>
      </c>
      <c r="H2" t="s">
        <v>65</v>
      </c>
      <c r="J2" t="s">
        <v>55</v>
      </c>
      <c r="K2" t="s">
        <v>56</v>
      </c>
      <c r="L2" t="s">
        <v>48</v>
      </c>
      <c r="M2" t="s">
        <v>49</v>
      </c>
      <c r="N2" t="s">
        <v>47</v>
      </c>
      <c r="O2" t="s">
        <v>51</v>
      </c>
      <c r="P2" t="s">
        <v>64</v>
      </c>
      <c r="Q2" t="s">
        <v>65</v>
      </c>
    </row>
    <row r="3" spans="1:17" x14ac:dyDescent="0.35">
      <c r="A3" s="4" t="s">
        <v>17</v>
      </c>
      <c r="B3" s="10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10">
        <v>0</v>
      </c>
      <c r="J3" s="4" t="s">
        <v>17</v>
      </c>
      <c r="K3" s="10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10">
        <v>5.1218E-2</v>
      </c>
    </row>
    <row r="4" spans="1:17" x14ac:dyDescent="0.35">
      <c r="A4" s="4" t="s">
        <v>16</v>
      </c>
      <c r="B4" s="10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10">
        <v>0</v>
      </c>
      <c r="J4" s="4" t="s">
        <v>16</v>
      </c>
      <c r="K4" s="10">
        <v>0</v>
      </c>
      <c r="L4" s="6">
        <v>0</v>
      </c>
      <c r="M4" s="6">
        <v>0</v>
      </c>
      <c r="N4" s="6">
        <v>185.69</v>
      </c>
      <c r="O4" s="6">
        <v>0</v>
      </c>
      <c r="P4" s="6">
        <v>185.69</v>
      </c>
      <c r="Q4" s="10">
        <v>0</v>
      </c>
    </row>
    <row r="5" spans="1:17" x14ac:dyDescent="0.35">
      <c r="A5" s="4" t="s">
        <v>12</v>
      </c>
      <c r="B5" s="10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10">
        <v>0</v>
      </c>
      <c r="J5" s="4" t="s">
        <v>12</v>
      </c>
      <c r="K5" s="10">
        <v>0</v>
      </c>
      <c r="L5" s="6">
        <v>0</v>
      </c>
      <c r="M5" s="6">
        <v>0</v>
      </c>
      <c r="N5" s="6">
        <v>0</v>
      </c>
      <c r="O5" s="6">
        <v>-13.450000000000001</v>
      </c>
      <c r="P5" s="6">
        <v>-13.450000000000001</v>
      </c>
      <c r="Q5" s="10">
        <v>2.3110649999999993</v>
      </c>
    </row>
    <row r="6" spans="1:17" x14ac:dyDescent="0.35">
      <c r="A6" s="4" t="s">
        <v>14</v>
      </c>
      <c r="B6" s="10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10">
        <v>0</v>
      </c>
      <c r="J6" s="4" t="s">
        <v>14</v>
      </c>
      <c r="K6" s="10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10">
        <v>52.64</v>
      </c>
    </row>
    <row r="7" spans="1:17" x14ac:dyDescent="0.35">
      <c r="A7" s="4" t="s">
        <v>18</v>
      </c>
      <c r="B7" s="10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10">
        <v>0</v>
      </c>
      <c r="J7" s="4" t="s">
        <v>18</v>
      </c>
      <c r="K7" s="10">
        <v>0</v>
      </c>
      <c r="L7" s="6">
        <v>0</v>
      </c>
      <c r="M7" s="6">
        <v>0</v>
      </c>
      <c r="N7" s="6">
        <v>160.63999999999999</v>
      </c>
      <c r="O7" s="6">
        <v>0</v>
      </c>
      <c r="P7" s="6">
        <v>160.63999999999999</v>
      </c>
      <c r="Q7" s="10">
        <v>0</v>
      </c>
    </row>
    <row r="8" spans="1:17" x14ac:dyDescent="0.35">
      <c r="A8" s="4" t="s">
        <v>20</v>
      </c>
      <c r="B8" s="10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10">
        <v>0</v>
      </c>
      <c r="J8" s="4" t="s">
        <v>20</v>
      </c>
      <c r="K8" s="10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10">
        <v>735.03892900000005</v>
      </c>
    </row>
    <row r="9" spans="1:17" x14ac:dyDescent="0.35">
      <c r="A9" s="4" t="s">
        <v>22</v>
      </c>
      <c r="B9" s="10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10">
        <v>0</v>
      </c>
      <c r="J9" s="4" t="s">
        <v>22</v>
      </c>
      <c r="K9" s="10">
        <v>0</v>
      </c>
      <c r="L9" s="6">
        <v>0</v>
      </c>
      <c r="M9" s="6">
        <v>0</v>
      </c>
      <c r="N9" s="6">
        <v>1268.1300000000001</v>
      </c>
      <c r="O9" s="6">
        <v>0</v>
      </c>
      <c r="P9" s="6">
        <v>1268.1300000000001</v>
      </c>
      <c r="Q9" s="10">
        <v>0</v>
      </c>
    </row>
    <row r="10" spans="1:17" x14ac:dyDescent="0.35">
      <c r="A10" s="4" t="s">
        <v>21</v>
      </c>
      <c r="B10" s="10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10">
        <v>0</v>
      </c>
      <c r="J10" s="4" t="s">
        <v>21</v>
      </c>
      <c r="K10" s="10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10">
        <v>4491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2F8C-A9FD-4881-A6E9-068313BFF25E}"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20">
        <v>44325.561805555553</v>
      </c>
      <c r="B5" t="s">
        <v>8</v>
      </c>
      <c r="C5" s="7">
        <v>0.21</v>
      </c>
      <c r="D5">
        <v>4491</v>
      </c>
      <c r="E5">
        <v>943.11</v>
      </c>
      <c r="T5" s="4"/>
      <c r="U5" s="9"/>
      <c r="V5" s="4"/>
      <c r="W5" s="4"/>
      <c r="X5" s="4"/>
      <c r="Y5" s="4"/>
      <c r="Z5" s="6"/>
      <c r="AA5" s="4"/>
      <c r="AB5" s="6"/>
      <c r="AC5" s="4"/>
      <c r="AE5" s="4">
        <v>2021</v>
      </c>
      <c r="AF5" s="4">
        <v>0</v>
      </c>
      <c r="AG5" s="6">
        <v>0</v>
      </c>
    </row>
    <row r="6" spans="1:40" x14ac:dyDescent="0.35"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C524-9D7B-4DFF-B735-F97B5093BC3D}"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9">
        <v>44325.561111111114</v>
      </c>
      <c r="B5" s="4" t="s">
        <v>8</v>
      </c>
      <c r="C5" s="6">
        <v>0.94</v>
      </c>
      <c r="D5" s="10">
        <v>109.7</v>
      </c>
      <c r="E5" s="6">
        <v>103.11800000000001</v>
      </c>
      <c r="F5" s="11">
        <v>109.7</v>
      </c>
      <c r="G5" s="6">
        <v>2.17</v>
      </c>
      <c r="H5" s="6">
        <v>134.93099999999998</v>
      </c>
      <c r="I5" s="4">
        <v>1</v>
      </c>
      <c r="J5" s="9">
        <v>44335.48541666667</v>
      </c>
      <c r="K5" s="4">
        <v>103.11800000000001</v>
      </c>
      <c r="L5" s="4">
        <v>238.04900000000001</v>
      </c>
      <c r="M5" s="4" t="s">
        <v>9</v>
      </c>
      <c r="N5" s="6">
        <v>134.93</v>
      </c>
      <c r="O5" s="5">
        <v>0</v>
      </c>
      <c r="P5" s="6">
        <v>0</v>
      </c>
      <c r="Q5" s="5">
        <v>0</v>
      </c>
      <c r="T5" s="4">
        <v>1</v>
      </c>
      <c r="U5" s="9">
        <v>44335.48541666667</v>
      </c>
      <c r="V5" s="4">
        <v>109.7</v>
      </c>
      <c r="W5" s="6">
        <v>2.17</v>
      </c>
      <c r="X5" s="4">
        <v>103.11800000000001</v>
      </c>
      <c r="Y5" s="4">
        <v>238.04900000000001</v>
      </c>
      <c r="Z5" s="6">
        <v>134.93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1268.1300000000001</v>
      </c>
      <c r="AL5">
        <v>0</v>
      </c>
      <c r="AM5">
        <v>0</v>
      </c>
      <c r="AN5">
        <v>0</v>
      </c>
    </row>
    <row r="6" spans="1:40" x14ac:dyDescent="0.35">
      <c r="A6" s="9">
        <v>44325.561111111114</v>
      </c>
      <c r="B6" s="4" t="s">
        <v>8</v>
      </c>
      <c r="C6" s="6">
        <v>0.94</v>
      </c>
      <c r="D6" s="10">
        <v>921.3</v>
      </c>
      <c r="E6" s="6">
        <v>866.02199999999993</v>
      </c>
      <c r="F6" s="11">
        <v>921.3</v>
      </c>
      <c r="G6" s="6">
        <v>2.17</v>
      </c>
      <c r="H6" s="6">
        <v>1133.1989999999998</v>
      </c>
      <c r="I6" s="4">
        <v>2</v>
      </c>
      <c r="J6" s="9">
        <v>44335.48541666667</v>
      </c>
      <c r="K6" s="4">
        <v>866.02199999999993</v>
      </c>
      <c r="L6" s="4">
        <v>1999.2209999999998</v>
      </c>
      <c r="M6" s="4" t="s">
        <v>9</v>
      </c>
      <c r="N6" s="6">
        <v>1133.2</v>
      </c>
      <c r="O6" s="5">
        <v>0</v>
      </c>
      <c r="P6" s="6">
        <v>0</v>
      </c>
      <c r="Q6" s="5">
        <v>0</v>
      </c>
      <c r="T6" s="4">
        <v>2</v>
      </c>
      <c r="U6" s="8">
        <v>44335.48541666667</v>
      </c>
      <c r="V6" s="4">
        <v>921.3</v>
      </c>
      <c r="W6" s="6">
        <v>2.17</v>
      </c>
      <c r="X6" s="4">
        <v>866.02199999999993</v>
      </c>
      <c r="Y6" s="4">
        <v>1999.2209999999998</v>
      </c>
      <c r="Z6" s="6">
        <v>1133.2</v>
      </c>
      <c r="AA6" s="4">
        <v>0</v>
      </c>
      <c r="AB6" s="6">
        <v>0</v>
      </c>
      <c r="AC6" s="4">
        <v>0</v>
      </c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DB3D5-2BAB-4E4E-999B-4CEAA8C7B262}"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20">
        <v>44325.549305555556</v>
      </c>
      <c r="B5" t="s">
        <v>8</v>
      </c>
      <c r="C5" s="7">
        <v>1.36</v>
      </c>
      <c r="D5">
        <v>735.03892900000005</v>
      </c>
      <c r="E5">
        <v>984.95216486000004</v>
      </c>
      <c r="T5" s="4"/>
      <c r="U5" s="9"/>
      <c r="V5" s="4"/>
      <c r="W5" s="4"/>
      <c r="X5" s="4"/>
      <c r="Y5" s="4"/>
      <c r="Z5" s="6"/>
      <c r="AA5" s="4"/>
      <c r="AB5" s="6"/>
      <c r="AC5" s="4"/>
      <c r="AE5" s="4">
        <v>2021</v>
      </c>
      <c r="AF5" s="4">
        <v>0</v>
      </c>
      <c r="AG5" s="6">
        <v>0</v>
      </c>
    </row>
    <row r="6" spans="1:40" x14ac:dyDescent="0.35"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7E8B-7AC3-4D0D-A9DD-38C56D90605F}"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9">
        <v>44318.92083333333</v>
      </c>
      <c r="B5" s="4" t="s">
        <v>8</v>
      </c>
      <c r="C5" s="6">
        <v>3021.5</v>
      </c>
      <c r="D5" s="10">
        <v>0.13897799999999999</v>
      </c>
      <c r="E5" s="6">
        <v>419.92202699999996</v>
      </c>
      <c r="F5" s="11">
        <v>0.13897799999999999</v>
      </c>
      <c r="G5" s="6">
        <v>4177.34</v>
      </c>
      <c r="H5" s="6">
        <v>160.63633152</v>
      </c>
      <c r="I5" s="4">
        <v>1</v>
      </c>
      <c r="J5" s="9">
        <v>44326.71875</v>
      </c>
      <c r="K5" s="4">
        <v>419.92202699999996</v>
      </c>
      <c r="L5" s="4">
        <v>580.55835851999996</v>
      </c>
      <c r="M5" s="4" t="s">
        <v>9</v>
      </c>
      <c r="N5" s="6">
        <v>160.63999999999999</v>
      </c>
      <c r="O5" s="5">
        <v>0</v>
      </c>
      <c r="P5" s="6">
        <v>0</v>
      </c>
      <c r="Q5" s="5">
        <v>0</v>
      </c>
      <c r="T5" s="4">
        <v>1</v>
      </c>
      <c r="U5" s="9">
        <v>44326.71875</v>
      </c>
      <c r="V5" s="4">
        <v>0.13897799999999999</v>
      </c>
      <c r="W5" s="6">
        <v>4177.34</v>
      </c>
      <c r="X5" s="4">
        <v>419.92202699999996</v>
      </c>
      <c r="Y5" s="4">
        <v>580.55835851999996</v>
      </c>
      <c r="Z5" s="6">
        <v>160.63999999999999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160.63999999999999</v>
      </c>
      <c r="AL5">
        <v>0</v>
      </c>
      <c r="AM5">
        <v>0</v>
      </c>
      <c r="AN5">
        <v>0</v>
      </c>
    </row>
    <row r="6" spans="1:40" x14ac:dyDescent="0.35"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A1835-1DAA-42E7-8AD5-A7554BB5E0A6}"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20">
        <v>44313.887499999997</v>
      </c>
      <c r="B5" t="s">
        <v>8</v>
      </c>
      <c r="C5" s="7">
        <v>16.72</v>
      </c>
      <c r="D5">
        <v>17.93</v>
      </c>
      <c r="E5">
        <v>298.35519999999997</v>
      </c>
      <c r="T5" s="4"/>
      <c r="U5" s="9"/>
      <c r="V5" s="4"/>
      <c r="W5" s="4"/>
      <c r="X5" s="4"/>
      <c r="Y5" s="4"/>
      <c r="Z5" s="6"/>
      <c r="AA5" s="4"/>
      <c r="AB5" s="6"/>
      <c r="AC5" s="4"/>
      <c r="AE5" s="4">
        <v>2021</v>
      </c>
      <c r="AF5" s="4">
        <v>0</v>
      </c>
      <c r="AG5" s="6">
        <v>0</v>
      </c>
    </row>
    <row r="6" spans="1:40" x14ac:dyDescent="0.35">
      <c r="A6" s="20">
        <v>44313.890277777777</v>
      </c>
      <c r="B6" t="s">
        <v>8</v>
      </c>
      <c r="C6" s="7">
        <v>16.73</v>
      </c>
      <c r="D6">
        <v>34.71</v>
      </c>
      <c r="E6">
        <v>577.92150000000004</v>
      </c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ED49A-D589-4C23-9A7F-32041343F82C}">
  <dimension ref="A3:AN13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9">
        <v>44313.886805555558</v>
      </c>
      <c r="B5" s="4" t="s">
        <v>8</v>
      </c>
      <c r="C5" s="6">
        <v>574.82000000000005</v>
      </c>
      <c r="D5" s="10">
        <v>0.52</v>
      </c>
      <c r="E5" s="6">
        <v>298.50080000000003</v>
      </c>
      <c r="F5" s="11">
        <v>1.04</v>
      </c>
      <c r="G5" s="6">
        <v>561.54999999999995</v>
      </c>
      <c r="H5" s="6">
        <v>-6.4948000000000548</v>
      </c>
      <c r="I5" s="4">
        <v>1</v>
      </c>
      <c r="J5" s="9">
        <v>44313.888888888891</v>
      </c>
      <c r="K5" s="4">
        <v>597.00160000000005</v>
      </c>
      <c r="L5" s="4">
        <v>584.01199999999994</v>
      </c>
      <c r="M5" s="4" t="s">
        <v>9</v>
      </c>
      <c r="N5" s="6">
        <v>0</v>
      </c>
      <c r="O5" s="5">
        <v>0</v>
      </c>
      <c r="P5" s="6">
        <v>-12.98</v>
      </c>
      <c r="Q5" s="5">
        <v>0</v>
      </c>
      <c r="T5" s="4">
        <v>1</v>
      </c>
      <c r="U5" s="9">
        <v>44313.888888888891</v>
      </c>
      <c r="V5" s="4">
        <v>1.04</v>
      </c>
      <c r="W5" s="6">
        <v>561.54999999999995</v>
      </c>
      <c r="X5" s="4">
        <v>597.00160000000005</v>
      </c>
      <c r="Y5" s="4">
        <v>584.01199999999994</v>
      </c>
      <c r="Z5" s="6">
        <v>0</v>
      </c>
      <c r="AA5" s="4">
        <v>0</v>
      </c>
      <c r="AB5" s="6">
        <v>-12.98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0</v>
      </c>
      <c r="AL5">
        <v>0</v>
      </c>
      <c r="AM5">
        <v>-13.450000000000001</v>
      </c>
      <c r="AN5">
        <v>0</v>
      </c>
    </row>
    <row r="6" spans="1:40" x14ac:dyDescent="0.35">
      <c r="A6" s="9">
        <v>44313.886805555558</v>
      </c>
      <c r="B6" s="4" t="s">
        <v>8</v>
      </c>
      <c r="C6" s="6">
        <v>574.82000000000005</v>
      </c>
      <c r="D6" s="10">
        <v>0.52</v>
      </c>
      <c r="E6" s="6">
        <v>298.50080000000003</v>
      </c>
      <c r="F6" s="11">
        <v>1.04</v>
      </c>
      <c r="G6" s="6">
        <v>561.54999999999995</v>
      </c>
      <c r="H6" s="6">
        <v>-6.4948000000000548</v>
      </c>
      <c r="I6" s="4">
        <v>1</v>
      </c>
      <c r="J6" s="9">
        <v>44313.888888888891</v>
      </c>
      <c r="K6" s="4">
        <v>597.00160000000005</v>
      </c>
      <c r="L6" s="4">
        <v>584.01199999999994</v>
      </c>
      <c r="M6" s="4" t="s">
        <v>9</v>
      </c>
      <c r="N6" s="6">
        <v>0</v>
      </c>
      <c r="O6" s="5">
        <v>0</v>
      </c>
      <c r="P6" s="6">
        <v>-12.98</v>
      </c>
      <c r="Q6" s="5">
        <v>0</v>
      </c>
      <c r="T6" s="4">
        <v>2</v>
      </c>
      <c r="U6" s="8">
        <v>44335.411111111112</v>
      </c>
      <c r="V6" s="4">
        <v>2.1600999999999999E-3</v>
      </c>
      <c r="W6" s="6">
        <v>354.78</v>
      </c>
      <c r="X6" s="6">
        <v>0.93</v>
      </c>
      <c r="Y6" s="4">
        <v>0.76636027799999984</v>
      </c>
      <c r="Z6" s="6">
        <v>0</v>
      </c>
      <c r="AA6" s="4">
        <v>0</v>
      </c>
      <c r="AB6" s="6">
        <v>-0.16</v>
      </c>
      <c r="AC6" s="4">
        <v>0</v>
      </c>
      <c r="AE6" s="4">
        <v>2022</v>
      </c>
      <c r="AF6" s="4">
        <v>0</v>
      </c>
      <c r="AG6" s="6">
        <v>0</v>
      </c>
    </row>
    <row r="7" spans="1:40" x14ac:dyDescent="0.35">
      <c r="A7" s="9">
        <v>44335.243055555555</v>
      </c>
      <c r="B7" s="4" t="s">
        <v>8</v>
      </c>
      <c r="C7" s="6">
        <v>431.03</v>
      </c>
      <c r="D7" s="10">
        <v>2.1600999999999999E-3</v>
      </c>
      <c r="E7" s="6">
        <v>0.93106790299999997</v>
      </c>
      <c r="F7" s="11">
        <v>2.1600999999999999E-3</v>
      </c>
      <c r="G7" s="6">
        <v>354.78</v>
      </c>
      <c r="H7" s="6">
        <v>-0.16</v>
      </c>
      <c r="I7" s="4">
        <v>2</v>
      </c>
      <c r="J7" s="9">
        <v>44335.411111111112</v>
      </c>
      <c r="K7" s="6">
        <v>0.93</v>
      </c>
      <c r="L7" s="4">
        <v>0.76636027799999984</v>
      </c>
      <c r="M7" s="4" t="s">
        <v>9</v>
      </c>
      <c r="N7" s="6">
        <v>0</v>
      </c>
      <c r="O7" s="5">
        <v>0</v>
      </c>
      <c r="P7" s="6">
        <v>-0.16</v>
      </c>
      <c r="Q7" s="5">
        <v>0</v>
      </c>
      <c r="T7" s="4">
        <v>3</v>
      </c>
      <c r="U7" s="8">
        <v>44335.48541666667</v>
      </c>
      <c r="V7" s="4">
        <v>4.7919999999999999E-4</v>
      </c>
      <c r="W7" s="6">
        <v>373.47</v>
      </c>
      <c r="X7" s="6">
        <v>0.21</v>
      </c>
      <c r="Y7" s="4">
        <v>0.178966824</v>
      </c>
      <c r="Z7" s="6">
        <v>0</v>
      </c>
      <c r="AA7" s="4">
        <v>0</v>
      </c>
      <c r="AB7" s="6">
        <v>-0.03</v>
      </c>
      <c r="AC7" s="4">
        <v>0</v>
      </c>
    </row>
    <row r="8" spans="1:40" x14ac:dyDescent="0.35">
      <c r="A8" s="9">
        <v>44335.243055555555</v>
      </c>
      <c r="B8" s="4" t="s">
        <v>8</v>
      </c>
      <c r="C8" s="6">
        <v>431.03</v>
      </c>
      <c r="D8" s="10">
        <v>4.7919999999999999E-4</v>
      </c>
      <c r="E8" s="6">
        <v>0.20654957599999998</v>
      </c>
      <c r="F8" s="11">
        <v>4.7919999999999999E-4</v>
      </c>
      <c r="G8" s="6">
        <v>373.47</v>
      </c>
      <c r="H8" s="6">
        <v>-0.03</v>
      </c>
      <c r="I8" s="4">
        <v>3</v>
      </c>
      <c r="J8" s="9">
        <v>44335.48541666667</v>
      </c>
      <c r="K8" s="6">
        <v>0.21</v>
      </c>
      <c r="L8" s="4">
        <v>0.178966824</v>
      </c>
      <c r="M8" s="4" t="s">
        <v>9</v>
      </c>
      <c r="N8" s="6">
        <v>0</v>
      </c>
      <c r="O8" s="5">
        <v>0</v>
      </c>
      <c r="P8" s="6">
        <v>-0.03</v>
      </c>
      <c r="Q8" s="5">
        <v>0</v>
      </c>
      <c r="T8" s="4">
        <v>4</v>
      </c>
      <c r="U8" s="8">
        <v>44335.48541666667</v>
      </c>
      <c r="V8" s="4">
        <v>4.0276000000000001E-3</v>
      </c>
      <c r="W8" s="6">
        <v>373.47</v>
      </c>
      <c r="X8" s="6">
        <v>1.74</v>
      </c>
      <c r="Y8" s="4">
        <v>1.5041877720000001</v>
      </c>
      <c r="Z8" s="6">
        <v>0</v>
      </c>
      <c r="AA8" s="4">
        <v>0</v>
      </c>
      <c r="AB8" s="6">
        <v>-0.23</v>
      </c>
      <c r="AC8" s="4">
        <v>0</v>
      </c>
    </row>
    <row r="9" spans="1:40" x14ac:dyDescent="0.35">
      <c r="A9" s="9">
        <v>44335.243055555555</v>
      </c>
      <c r="B9" s="4" t="s">
        <v>8</v>
      </c>
      <c r="C9" s="6">
        <v>431.03</v>
      </c>
      <c r="D9" s="10">
        <v>4.0276000000000001E-3</v>
      </c>
      <c r="E9" s="6">
        <v>1.7360164280000001</v>
      </c>
      <c r="F9" s="11">
        <v>4.0276000000000001E-3</v>
      </c>
      <c r="G9" s="6">
        <v>373.47</v>
      </c>
      <c r="H9" s="6">
        <v>-0.23</v>
      </c>
      <c r="I9" s="4">
        <v>4</v>
      </c>
      <c r="J9" s="9">
        <v>44335.48541666667</v>
      </c>
      <c r="K9" s="6">
        <v>1.74</v>
      </c>
      <c r="L9" s="4">
        <v>1.5041877720000001</v>
      </c>
      <c r="M9" s="4" t="s">
        <v>9</v>
      </c>
      <c r="N9" s="6">
        <v>0</v>
      </c>
      <c r="O9" s="5">
        <v>0</v>
      </c>
      <c r="P9" s="6">
        <v>-0.23</v>
      </c>
      <c r="Q9" s="5">
        <v>0</v>
      </c>
      <c r="T9" s="4">
        <v>5</v>
      </c>
      <c r="U9" s="8">
        <v>44335.545138888891</v>
      </c>
      <c r="V9" s="4">
        <v>7.4999999999999993E-5</v>
      </c>
      <c r="W9" s="6">
        <v>401.55</v>
      </c>
      <c r="X9" s="6">
        <v>0.03</v>
      </c>
      <c r="Y9" s="4">
        <v>3.0116249999999997E-2</v>
      </c>
      <c r="Z9" s="6">
        <v>0</v>
      </c>
      <c r="AA9" s="4">
        <v>0</v>
      </c>
      <c r="AB9" s="6">
        <v>0</v>
      </c>
      <c r="AC9" s="4">
        <v>0</v>
      </c>
    </row>
    <row r="10" spans="1:40" x14ac:dyDescent="0.35">
      <c r="A10" s="9">
        <v>44335.243055555555</v>
      </c>
      <c r="B10" s="4" t="s">
        <v>8</v>
      </c>
      <c r="C10" s="6">
        <v>431.03</v>
      </c>
      <c r="D10" s="10">
        <v>7.4999999999999993E-5</v>
      </c>
      <c r="E10" s="6">
        <v>3.2327249999999995E-2</v>
      </c>
      <c r="F10" s="11">
        <v>7.4999999999999993E-5</v>
      </c>
      <c r="G10" s="6">
        <v>401.55</v>
      </c>
      <c r="H10" s="6">
        <v>0</v>
      </c>
      <c r="I10" s="4">
        <v>5</v>
      </c>
      <c r="J10" s="9">
        <v>44335.545138888891</v>
      </c>
      <c r="K10" s="6">
        <v>0.03</v>
      </c>
      <c r="L10" s="4">
        <v>3.0116249999999997E-2</v>
      </c>
      <c r="M10" s="4" t="s">
        <v>9</v>
      </c>
      <c r="N10" s="6">
        <v>0</v>
      </c>
      <c r="O10" s="5">
        <v>0</v>
      </c>
      <c r="P10" s="6">
        <v>0</v>
      </c>
      <c r="Q10" s="5">
        <v>0</v>
      </c>
      <c r="T10" s="4">
        <v>6</v>
      </c>
      <c r="U10" s="8">
        <v>44335.546527777777</v>
      </c>
      <c r="V10" s="4">
        <v>7.4999999999999993E-5</v>
      </c>
      <c r="W10" s="6">
        <v>401.92</v>
      </c>
      <c r="X10" s="6">
        <v>0.03</v>
      </c>
      <c r="Y10" s="4">
        <v>3.0143999999999997E-2</v>
      </c>
      <c r="Z10" s="6">
        <v>0</v>
      </c>
      <c r="AA10" s="4">
        <v>0</v>
      </c>
      <c r="AB10" s="6">
        <v>0</v>
      </c>
      <c r="AC10" s="4">
        <v>0</v>
      </c>
    </row>
    <row r="11" spans="1:40" x14ac:dyDescent="0.35">
      <c r="A11" s="9">
        <v>44335.243055555555</v>
      </c>
      <c r="B11" s="4" t="s">
        <v>8</v>
      </c>
      <c r="C11" s="6">
        <v>431.03</v>
      </c>
      <c r="D11" s="10">
        <v>7.4999999999999993E-5</v>
      </c>
      <c r="E11" s="6">
        <v>3.2327249999999995E-2</v>
      </c>
      <c r="F11" s="11">
        <v>7.4999999999999993E-5</v>
      </c>
      <c r="G11" s="6">
        <v>401.92</v>
      </c>
      <c r="H11" s="6">
        <v>0</v>
      </c>
      <c r="I11" s="4">
        <v>6</v>
      </c>
      <c r="J11" s="9">
        <v>44335.546527777777</v>
      </c>
      <c r="K11" s="6">
        <v>0.03</v>
      </c>
      <c r="L11" s="4">
        <v>3.0143999999999997E-2</v>
      </c>
      <c r="M11" s="4" t="s">
        <v>9</v>
      </c>
      <c r="N11" s="6">
        <v>0</v>
      </c>
      <c r="O11" s="5">
        <v>0</v>
      </c>
      <c r="P11" s="6">
        <v>0</v>
      </c>
      <c r="Q11" s="5">
        <v>0</v>
      </c>
      <c r="T11" s="4">
        <v>7</v>
      </c>
      <c r="U11" s="8">
        <v>44335.558333333334</v>
      </c>
      <c r="V11" s="4">
        <v>2.1180999999999999E-3</v>
      </c>
      <c r="W11" s="6">
        <v>407.84</v>
      </c>
      <c r="X11" s="6">
        <v>0.91</v>
      </c>
      <c r="Y11" s="4">
        <v>0.86384590399999994</v>
      </c>
      <c r="Z11" s="6">
        <v>0</v>
      </c>
      <c r="AA11" s="4">
        <v>0</v>
      </c>
      <c r="AB11" s="6">
        <v>-0.05</v>
      </c>
      <c r="AC11" s="4">
        <v>0</v>
      </c>
    </row>
    <row r="12" spans="1:40" x14ac:dyDescent="0.35">
      <c r="A12" s="9">
        <v>44335.243055555555</v>
      </c>
      <c r="B12" s="4" t="s">
        <v>8</v>
      </c>
      <c r="C12" s="6">
        <v>431.03</v>
      </c>
      <c r="D12" s="10">
        <v>2.1180999999999999E-3</v>
      </c>
      <c r="E12" s="6">
        <v>0.91296464300000002</v>
      </c>
      <c r="F12" s="11">
        <v>2.1180999999999999E-3</v>
      </c>
      <c r="G12" s="6">
        <v>407.84</v>
      </c>
      <c r="H12" s="6">
        <v>-0.05</v>
      </c>
      <c r="I12" s="4">
        <v>7</v>
      </c>
      <c r="J12" s="9">
        <v>44335.558333333334</v>
      </c>
      <c r="K12" s="6">
        <v>0.91</v>
      </c>
      <c r="L12" s="4">
        <v>0.86384590399999994</v>
      </c>
      <c r="M12" s="4" t="s">
        <v>9</v>
      </c>
      <c r="N12" s="6">
        <v>0</v>
      </c>
      <c r="O12" s="5">
        <v>0</v>
      </c>
      <c r="P12" s="6">
        <v>-0.05</v>
      </c>
      <c r="Q12" s="5">
        <v>0</v>
      </c>
    </row>
    <row r="13" spans="1:40" x14ac:dyDescent="0.35">
      <c r="A13" s="9">
        <v>44335.243055555555</v>
      </c>
      <c r="B13" s="4" t="s">
        <v>8</v>
      </c>
      <c r="C13" s="6">
        <v>431.03</v>
      </c>
      <c r="D13" s="10">
        <v>2.3110649999999997</v>
      </c>
      <c r="E13" s="6">
        <v>996.13834694999991</v>
      </c>
      <c r="F13" s="11"/>
      <c r="G13" s="6"/>
      <c r="H13" s="6"/>
      <c r="I13" s="4"/>
      <c r="J13" s="9"/>
      <c r="K13" s="4"/>
      <c r="L13" s="4"/>
      <c r="M13" s="4"/>
      <c r="N13" s="6"/>
      <c r="O13" s="4"/>
      <c r="P13" s="6"/>
      <c r="Q13" s="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16B91-B51D-4D2A-97AF-D25890A73028}"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9">
        <v>44235.627083333333</v>
      </c>
      <c r="B5" s="4" t="s">
        <v>8</v>
      </c>
      <c r="C5" s="6">
        <v>0.08</v>
      </c>
      <c r="D5" s="10">
        <v>599</v>
      </c>
      <c r="E5" s="6">
        <v>47.92</v>
      </c>
      <c r="F5" s="11">
        <v>599</v>
      </c>
      <c r="G5" s="6">
        <v>0.39</v>
      </c>
      <c r="H5" s="6">
        <v>185.69</v>
      </c>
      <c r="I5" s="4">
        <v>1</v>
      </c>
      <c r="J5" s="9">
        <v>44319.083333333336</v>
      </c>
      <c r="K5" s="4">
        <v>47.92</v>
      </c>
      <c r="L5" s="4">
        <v>233.61</v>
      </c>
      <c r="M5" s="4" t="s">
        <v>9</v>
      </c>
      <c r="N5" s="6">
        <v>185.69</v>
      </c>
      <c r="O5" s="5">
        <v>0</v>
      </c>
      <c r="P5" s="6">
        <v>0</v>
      </c>
      <c r="Q5" s="5">
        <v>0</v>
      </c>
      <c r="T5" s="4">
        <v>1</v>
      </c>
      <c r="U5" s="9">
        <v>44319.083333333336</v>
      </c>
      <c r="V5" s="4">
        <v>599</v>
      </c>
      <c r="W5" s="6">
        <v>0.39</v>
      </c>
      <c r="X5" s="4">
        <v>47.92</v>
      </c>
      <c r="Y5" s="4">
        <v>233.61</v>
      </c>
      <c r="Z5" s="6">
        <v>185.69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185.69</v>
      </c>
      <c r="AL5">
        <v>0</v>
      </c>
      <c r="AM5">
        <v>0</v>
      </c>
      <c r="AN5">
        <v>0</v>
      </c>
    </row>
    <row r="6" spans="1:40" x14ac:dyDescent="0.35"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DC46-BB36-42E5-B56F-60AC32B1C986}">
  <dimension ref="A3:AN7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9">
        <v>44157.084027777775</v>
      </c>
      <c r="B5" s="4" t="s">
        <v>8</v>
      </c>
      <c r="C5" s="6">
        <v>18713.63</v>
      </c>
      <c r="D5" s="10">
        <v>5.3404000000000004E-3</v>
      </c>
      <c r="E5" s="6">
        <v>99.938269652000002</v>
      </c>
      <c r="F5" s="11">
        <v>5.3404000000000004E-3</v>
      </c>
      <c r="G5" s="6">
        <v>57524.83</v>
      </c>
      <c r="H5" s="6">
        <v>207.26733248000002</v>
      </c>
      <c r="I5" s="4">
        <v>1</v>
      </c>
      <c r="J5" s="9">
        <v>44155.667361111111</v>
      </c>
      <c r="K5" s="4">
        <v>99.938269652000002</v>
      </c>
      <c r="L5" s="4">
        <v>307.20560213200002</v>
      </c>
      <c r="M5" s="4" t="s">
        <v>9</v>
      </c>
      <c r="N5" s="6">
        <v>207.27</v>
      </c>
      <c r="O5" s="5">
        <v>0</v>
      </c>
      <c r="P5" s="6">
        <v>0</v>
      </c>
      <c r="Q5" s="5">
        <v>0</v>
      </c>
      <c r="T5" s="4">
        <v>1</v>
      </c>
      <c r="U5" s="9">
        <v>44155.667361111111</v>
      </c>
      <c r="V5" s="4">
        <v>5.3404000000000004E-3</v>
      </c>
      <c r="W5" s="6">
        <v>57524.83</v>
      </c>
      <c r="X5" s="4">
        <v>99.938269652000002</v>
      </c>
      <c r="Y5" s="4">
        <v>307.20560213200002</v>
      </c>
      <c r="Z5" s="6">
        <v>207.27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</row>
    <row r="6" spans="1:40" x14ac:dyDescent="0.35">
      <c r="A6" s="9">
        <v>44334.802777777775</v>
      </c>
      <c r="B6" s="4" t="s">
        <v>8</v>
      </c>
      <c r="C6" s="6">
        <v>42854.8</v>
      </c>
      <c r="D6" s="10">
        <v>2.3217999999999999E-2</v>
      </c>
      <c r="E6" s="6">
        <v>994.99996023999995</v>
      </c>
      <c r="F6" s="11"/>
      <c r="G6" s="6"/>
      <c r="H6" s="6"/>
      <c r="I6" s="4"/>
      <c r="J6" s="9"/>
      <c r="K6" s="4"/>
      <c r="L6" s="4"/>
      <c r="M6" s="4"/>
      <c r="N6" s="6"/>
      <c r="O6" s="4"/>
      <c r="P6" s="6"/>
      <c r="Q6" s="4"/>
      <c r="AE6" s="4">
        <v>2022</v>
      </c>
      <c r="AF6" s="4">
        <v>0</v>
      </c>
      <c r="AG6" s="6">
        <v>0</v>
      </c>
    </row>
    <row r="7" spans="1:40" x14ac:dyDescent="0.35">
      <c r="A7" s="9">
        <v>44335.411111111112</v>
      </c>
      <c r="B7" s="4" t="s">
        <v>8</v>
      </c>
      <c r="C7" s="6">
        <v>35579.269999999997</v>
      </c>
      <c r="D7" s="10">
        <v>2.8000000000000001E-2</v>
      </c>
      <c r="E7" s="6">
        <v>996.21956</v>
      </c>
      <c r="F7" s="11"/>
      <c r="G7" s="6"/>
      <c r="H7" s="6"/>
      <c r="I7" s="4"/>
      <c r="J7" s="9"/>
      <c r="K7" s="4"/>
      <c r="L7" s="4"/>
      <c r="M7" s="4"/>
      <c r="N7" s="6"/>
      <c r="O7" s="4"/>
      <c r="P7" s="6"/>
      <c r="Q7" s="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CBFD9-67BD-4408-A5B1-EC882A1E8DC2}">
  <sheetPr codeName="Sheet48"/>
  <dimension ref="A3:AN7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9">
        <v>44551.961805555555</v>
      </c>
      <c r="B5" s="4" t="s">
        <v>8</v>
      </c>
      <c r="C5" s="6">
        <v>1</v>
      </c>
      <c r="D5" s="10">
        <v>506.47</v>
      </c>
      <c r="E5" s="6">
        <v>506.47</v>
      </c>
      <c r="F5" s="11">
        <v>506.47</v>
      </c>
      <c r="G5" s="6">
        <v>1</v>
      </c>
      <c r="H5" s="6">
        <v>0</v>
      </c>
      <c r="I5" s="4">
        <v>1</v>
      </c>
      <c r="J5" s="9">
        <v>44560.5625</v>
      </c>
      <c r="K5" s="4">
        <v>506.47</v>
      </c>
      <c r="L5" s="4">
        <v>506.47</v>
      </c>
      <c r="M5" s="4" t="s">
        <v>9</v>
      </c>
      <c r="N5" s="6">
        <v>0</v>
      </c>
      <c r="O5" s="5">
        <v>0</v>
      </c>
      <c r="P5" s="6">
        <v>0</v>
      </c>
      <c r="Q5" s="5">
        <v>0</v>
      </c>
      <c r="T5" s="4">
        <v>1</v>
      </c>
      <c r="U5" s="9">
        <v>44560.5625</v>
      </c>
      <c r="V5" s="4">
        <v>506.47</v>
      </c>
      <c r="W5" s="6">
        <v>1</v>
      </c>
      <c r="X5" s="4">
        <v>506.47</v>
      </c>
      <c r="Y5" s="4">
        <v>506.47</v>
      </c>
      <c r="Z5" s="6">
        <v>0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0</v>
      </c>
      <c r="AL5">
        <v>0</v>
      </c>
      <c r="AM5">
        <v>0</v>
      </c>
      <c r="AN5">
        <v>0</v>
      </c>
    </row>
    <row r="6" spans="1:40" x14ac:dyDescent="0.35">
      <c r="A6" s="9">
        <v>44551.961805555555</v>
      </c>
      <c r="B6" s="4" t="s">
        <v>8</v>
      </c>
      <c r="C6" s="6">
        <v>1</v>
      </c>
      <c r="D6" s="10">
        <v>468.53</v>
      </c>
      <c r="E6" s="6">
        <v>468.53</v>
      </c>
      <c r="F6" s="11"/>
      <c r="G6" s="6"/>
      <c r="H6" s="6"/>
      <c r="I6" s="4"/>
      <c r="J6" s="9"/>
      <c r="K6" s="4"/>
      <c r="L6" s="4"/>
      <c r="M6" s="4"/>
      <c r="N6" s="6"/>
      <c r="O6" s="4"/>
      <c r="P6" s="6"/>
      <c r="Q6" s="4"/>
      <c r="AE6" s="4">
        <v>2022</v>
      </c>
      <c r="AF6" s="4">
        <v>0</v>
      </c>
      <c r="AG6" s="6">
        <v>0</v>
      </c>
    </row>
    <row r="7" spans="1:40" x14ac:dyDescent="0.35">
      <c r="A7" s="8"/>
      <c r="B7" s="4"/>
      <c r="C7" s="6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E0E8C-F973-42D0-9420-4956BFEC7BF6}">
  <sheetPr codeName="Sheet47"/>
  <dimension ref="A3:AN186"/>
  <sheetViews>
    <sheetView tabSelected="1"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53</v>
      </c>
      <c r="B3" s="12"/>
      <c r="C3" s="12"/>
      <c r="D3" s="12"/>
      <c r="E3" s="12"/>
      <c r="F3" s="12" t="s">
        <v>54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66</v>
      </c>
      <c r="B4" s="3" t="s">
        <v>52</v>
      </c>
      <c r="C4" s="3" t="s">
        <v>50</v>
      </c>
      <c r="D4" s="3" t="s">
        <v>27</v>
      </c>
      <c r="E4" s="3" t="s">
        <v>28</v>
      </c>
      <c r="F4" s="13" t="s">
        <v>41</v>
      </c>
      <c r="G4" s="13" t="s">
        <v>29</v>
      </c>
      <c r="H4" s="13" t="s">
        <v>30</v>
      </c>
      <c r="I4" s="13" t="s">
        <v>31</v>
      </c>
      <c r="J4" s="13" t="s">
        <v>37</v>
      </c>
      <c r="K4" s="13" t="s">
        <v>70</v>
      </c>
      <c r="L4" s="13" t="s">
        <v>71</v>
      </c>
      <c r="M4" s="13" t="s">
        <v>40</v>
      </c>
      <c r="N4" s="13" t="s">
        <v>32</v>
      </c>
      <c r="O4" s="13" t="s">
        <v>38</v>
      </c>
      <c r="P4" s="3" t="s">
        <v>33</v>
      </c>
      <c r="Q4" s="3" t="s">
        <v>39</v>
      </c>
      <c r="T4" s="3" t="s">
        <v>36</v>
      </c>
      <c r="U4" s="3" t="s">
        <v>37</v>
      </c>
      <c r="V4" s="3" t="s">
        <v>41</v>
      </c>
      <c r="W4" s="3" t="s">
        <v>46</v>
      </c>
      <c r="X4" s="3" t="s">
        <v>68</v>
      </c>
      <c r="Y4" s="3" t="s">
        <v>69</v>
      </c>
      <c r="Z4" s="3" t="s">
        <v>34</v>
      </c>
      <c r="AA4" s="3" t="s">
        <v>38</v>
      </c>
      <c r="AB4" s="3" t="s">
        <v>35</v>
      </c>
      <c r="AC4" s="3" t="s">
        <v>39</v>
      </c>
      <c r="AE4" s="3" t="s">
        <v>42</v>
      </c>
      <c r="AF4" s="3" t="s">
        <v>45</v>
      </c>
      <c r="AG4" s="3" t="s">
        <v>44</v>
      </c>
      <c r="AI4" s="3" t="s">
        <v>42</v>
      </c>
      <c r="AJ4" s="3" t="s">
        <v>43</v>
      </c>
      <c r="AK4" s="3" t="s">
        <v>47</v>
      </c>
      <c r="AL4" s="3" t="s">
        <v>48</v>
      </c>
      <c r="AM4" s="3" t="s">
        <v>51</v>
      </c>
      <c r="AN4" s="3" t="s">
        <v>49</v>
      </c>
    </row>
    <row r="5" spans="1:40" x14ac:dyDescent="0.35">
      <c r="A5" s="9">
        <v>44335.55972222222</v>
      </c>
      <c r="B5" s="4" t="s">
        <v>8</v>
      </c>
      <c r="C5" s="6">
        <v>23.17</v>
      </c>
      <c r="D5" s="10">
        <v>66.144750000000002</v>
      </c>
      <c r="E5" s="6">
        <v>1532.5738575</v>
      </c>
      <c r="F5" s="11">
        <v>494.9778622</v>
      </c>
      <c r="G5" s="6">
        <v>11.836</v>
      </c>
      <c r="H5" s="6">
        <v>-749.6845965</v>
      </c>
      <c r="I5" s="4">
        <v>1</v>
      </c>
      <c r="J5" s="9">
        <v>44551.441666666666</v>
      </c>
      <c r="K5" s="4">
        <v>9073.0593683590014</v>
      </c>
      <c r="L5" s="4">
        <v>5853.0547506815983</v>
      </c>
      <c r="M5" s="4" t="s">
        <v>9</v>
      </c>
      <c r="N5" s="6">
        <v>3.45</v>
      </c>
      <c r="O5" s="5">
        <v>0</v>
      </c>
      <c r="P5" s="6">
        <v>-3223.47</v>
      </c>
      <c r="Q5" s="5">
        <v>0</v>
      </c>
      <c r="T5" s="4">
        <v>1</v>
      </c>
      <c r="U5" s="9">
        <v>44551.441666666666</v>
      </c>
      <c r="V5" s="4">
        <v>494.9778622</v>
      </c>
      <c r="W5" s="6">
        <v>11.84</v>
      </c>
      <c r="X5" s="4">
        <v>9073.0593683590014</v>
      </c>
      <c r="Y5" s="4">
        <v>5853.0547506815983</v>
      </c>
      <c r="Z5" s="6">
        <v>3.45</v>
      </c>
      <c r="AA5" s="4">
        <v>0</v>
      </c>
      <c r="AB5" s="6">
        <v>-3223.47</v>
      </c>
      <c r="AC5" s="4">
        <v>0</v>
      </c>
      <c r="AE5" s="4">
        <v>2021</v>
      </c>
      <c r="AF5" s="15">
        <v>146.75222560000003</v>
      </c>
      <c r="AG5" s="6">
        <v>2549.8000000000002</v>
      </c>
      <c r="AI5">
        <v>2021</v>
      </c>
      <c r="AJ5" s="7">
        <v>2549.8000000000002</v>
      </c>
      <c r="AK5">
        <v>3.45</v>
      </c>
      <c r="AL5">
        <v>0</v>
      </c>
      <c r="AM5">
        <v>-3223.47</v>
      </c>
      <c r="AN5">
        <v>0</v>
      </c>
    </row>
    <row r="6" spans="1:40" x14ac:dyDescent="0.35">
      <c r="A6" s="9">
        <v>44339</v>
      </c>
      <c r="B6" s="4" t="s">
        <v>43</v>
      </c>
      <c r="C6" s="6">
        <v>18.670000000000002</v>
      </c>
      <c r="D6" s="10">
        <v>0</v>
      </c>
      <c r="E6" s="6">
        <v>0</v>
      </c>
      <c r="F6" s="11">
        <v>494.9778622</v>
      </c>
      <c r="G6" s="6">
        <v>11.836</v>
      </c>
      <c r="H6" s="6">
        <v>0</v>
      </c>
      <c r="I6" s="4">
        <v>1</v>
      </c>
      <c r="J6" s="9">
        <v>44551.441666666666</v>
      </c>
      <c r="K6" s="4">
        <v>9073.0593683590014</v>
      </c>
      <c r="L6" s="4">
        <v>5853.0547506815983</v>
      </c>
      <c r="M6" s="4" t="s">
        <v>9</v>
      </c>
      <c r="N6" s="6">
        <v>3.45</v>
      </c>
      <c r="O6" s="5">
        <v>0</v>
      </c>
      <c r="P6" s="6">
        <v>-3223.47</v>
      </c>
      <c r="Q6" s="5">
        <v>0</v>
      </c>
      <c r="AE6" s="4">
        <v>2022</v>
      </c>
      <c r="AF6" s="4">
        <v>0</v>
      </c>
      <c r="AG6" s="6">
        <v>0</v>
      </c>
    </row>
    <row r="7" spans="1:40" x14ac:dyDescent="0.35">
      <c r="A7" s="9">
        <v>44339.65519675926</v>
      </c>
      <c r="B7" s="4" t="s">
        <v>8</v>
      </c>
      <c r="C7" s="6">
        <v>16.63</v>
      </c>
      <c r="D7" s="10">
        <v>3.2000000000000001E-2</v>
      </c>
      <c r="E7" s="6">
        <v>0.53215999999999997</v>
      </c>
      <c r="F7" s="11">
        <v>494.9778622</v>
      </c>
      <c r="G7" s="6">
        <v>11.836</v>
      </c>
      <c r="H7" s="6">
        <v>-0.15340799999999993</v>
      </c>
      <c r="I7" s="4">
        <v>1</v>
      </c>
      <c r="J7" s="9">
        <v>44551.441666666666</v>
      </c>
      <c r="K7" s="4">
        <v>9073.0593683590014</v>
      </c>
      <c r="L7" s="4">
        <v>5853.0547506815983</v>
      </c>
      <c r="M7" s="4" t="s">
        <v>9</v>
      </c>
      <c r="N7" s="6">
        <v>3.45</v>
      </c>
      <c r="O7" s="5">
        <v>0</v>
      </c>
      <c r="P7" s="6">
        <v>-3223.47</v>
      </c>
      <c r="Q7" s="5">
        <v>0</v>
      </c>
    </row>
    <row r="8" spans="1:40" x14ac:dyDescent="0.35">
      <c r="A8" s="9">
        <v>44340.613888888889</v>
      </c>
      <c r="B8" s="4" t="s">
        <v>8</v>
      </c>
      <c r="C8" s="6">
        <v>16.7</v>
      </c>
      <c r="D8" s="10">
        <v>5.3152900000000001</v>
      </c>
      <c r="E8" s="6">
        <v>88.499578499999998</v>
      </c>
      <c r="F8" s="11">
        <v>494.9778622</v>
      </c>
      <c r="G8" s="6">
        <v>11.836</v>
      </c>
      <c r="H8" s="6">
        <v>-25.587806059999998</v>
      </c>
      <c r="I8" s="4">
        <v>1</v>
      </c>
      <c r="J8" s="9">
        <v>44551.441666666666</v>
      </c>
      <c r="K8" s="4">
        <v>9073.0593683590014</v>
      </c>
      <c r="L8" s="4">
        <v>5853.0547506815983</v>
      </c>
      <c r="M8" s="4" t="s">
        <v>9</v>
      </c>
      <c r="N8" s="6">
        <v>3.45</v>
      </c>
      <c r="O8" s="5">
        <v>0</v>
      </c>
      <c r="P8" s="6">
        <v>-3223.47</v>
      </c>
      <c r="Q8" s="5">
        <v>0</v>
      </c>
    </row>
    <row r="9" spans="1:40" x14ac:dyDescent="0.35">
      <c r="A9" s="9">
        <v>44340.623749999999</v>
      </c>
      <c r="B9" s="4" t="s">
        <v>8</v>
      </c>
      <c r="C9" s="6">
        <v>16.63</v>
      </c>
      <c r="D9" s="10">
        <v>1.218</v>
      </c>
      <c r="E9" s="6">
        <v>20.25534</v>
      </c>
      <c r="F9" s="11">
        <v>494.9778622</v>
      </c>
      <c r="G9" s="6">
        <v>11.836</v>
      </c>
      <c r="H9" s="6">
        <v>-5.8390920000000008</v>
      </c>
      <c r="I9" s="4">
        <v>1</v>
      </c>
      <c r="J9" s="9">
        <v>44551.441666666666</v>
      </c>
      <c r="K9" s="4">
        <v>9073.0593683590014</v>
      </c>
      <c r="L9" s="4">
        <v>5853.0547506815983</v>
      </c>
      <c r="M9" s="4" t="s">
        <v>9</v>
      </c>
      <c r="N9" s="6">
        <v>3.45</v>
      </c>
      <c r="O9" s="5">
        <v>0</v>
      </c>
      <c r="P9" s="6">
        <v>-3223.47</v>
      </c>
      <c r="Q9" s="5">
        <v>0</v>
      </c>
    </row>
    <row r="10" spans="1:40" x14ac:dyDescent="0.35">
      <c r="A10" s="9">
        <v>44341</v>
      </c>
      <c r="B10" s="4" t="s">
        <v>43</v>
      </c>
      <c r="C10" s="6">
        <v>18.55</v>
      </c>
      <c r="D10" s="10">
        <v>0</v>
      </c>
      <c r="E10" s="6">
        <v>0</v>
      </c>
      <c r="F10" s="11">
        <v>494.9778622</v>
      </c>
      <c r="G10" s="6">
        <v>11.836</v>
      </c>
      <c r="H10" s="6">
        <v>0</v>
      </c>
      <c r="I10" s="4">
        <v>1</v>
      </c>
      <c r="J10" s="9">
        <v>44551.441666666666</v>
      </c>
      <c r="K10" s="4">
        <v>9073.0593683590014</v>
      </c>
      <c r="L10" s="4">
        <v>5853.0547506815983</v>
      </c>
      <c r="M10" s="4" t="s">
        <v>9</v>
      </c>
      <c r="N10" s="6">
        <v>3.45</v>
      </c>
      <c r="O10" s="5">
        <v>0</v>
      </c>
      <c r="P10" s="6">
        <v>-3223.47</v>
      </c>
      <c r="Q10" s="5">
        <v>0</v>
      </c>
    </row>
    <row r="11" spans="1:40" x14ac:dyDescent="0.35">
      <c r="A11" s="9">
        <v>44342</v>
      </c>
      <c r="B11" s="4" t="s">
        <v>43</v>
      </c>
      <c r="C11" s="6">
        <v>16.670000000000002</v>
      </c>
      <c r="D11" s="10">
        <v>6.8500000000000227E-3</v>
      </c>
      <c r="E11" s="6">
        <v>0.11418950000000037</v>
      </c>
      <c r="F11" s="11">
        <v>494.9778622</v>
      </c>
      <c r="G11" s="6">
        <v>11.836</v>
      </c>
      <c r="H11" s="6">
        <v>-3.3112900000000098E-2</v>
      </c>
      <c r="I11" s="4">
        <v>1</v>
      </c>
      <c r="J11" s="9">
        <v>44551.441666666666</v>
      </c>
      <c r="K11" s="4">
        <v>9073.0593683590014</v>
      </c>
      <c r="L11" s="4">
        <v>5853.0547506815983</v>
      </c>
      <c r="M11" s="4" t="s">
        <v>9</v>
      </c>
      <c r="N11" s="6">
        <v>3.45</v>
      </c>
      <c r="O11" s="5">
        <v>0</v>
      </c>
      <c r="P11" s="6">
        <v>-3223.47</v>
      </c>
      <c r="Q11" s="5">
        <v>0</v>
      </c>
    </row>
    <row r="12" spans="1:40" x14ac:dyDescent="0.35">
      <c r="A12" s="9">
        <v>44344</v>
      </c>
      <c r="B12" s="4" t="s">
        <v>43</v>
      </c>
      <c r="C12" s="6">
        <v>16.43</v>
      </c>
      <c r="D12" s="10">
        <v>0</v>
      </c>
      <c r="E12" s="6">
        <v>0</v>
      </c>
      <c r="F12" s="11">
        <v>494.9778622</v>
      </c>
      <c r="G12" s="6">
        <v>11.836</v>
      </c>
      <c r="H12" s="6">
        <v>0</v>
      </c>
      <c r="I12" s="4">
        <v>1</v>
      </c>
      <c r="J12" s="9">
        <v>44551.441666666666</v>
      </c>
      <c r="K12" s="4">
        <v>9073.0593683590014</v>
      </c>
      <c r="L12" s="4">
        <v>5853.0547506815983</v>
      </c>
      <c r="M12" s="4" t="s">
        <v>9</v>
      </c>
      <c r="N12" s="6">
        <v>3.45</v>
      </c>
      <c r="O12" s="5">
        <v>0</v>
      </c>
      <c r="P12" s="6">
        <v>-3223.47</v>
      </c>
      <c r="Q12" s="5">
        <v>0</v>
      </c>
    </row>
    <row r="13" spans="1:40" x14ac:dyDescent="0.35">
      <c r="A13" s="9">
        <v>44344</v>
      </c>
      <c r="B13" s="4" t="s">
        <v>43</v>
      </c>
      <c r="C13" s="6">
        <v>16.13</v>
      </c>
      <c r="D13" s="10">
        <v>2.3510000000001696E-2</v>
      </c>
      <c r="E13" s="6">
        <v>0.37921630000002737</v>
      </c>
      <c r="F13" s="11">
        <v>494.9778622</v>
      </c>
      <c r="G13" s="6">
        <v>11.836</v>
      </c>
      <c r="H13" s="6">
        <v>-0.10095194000000729</v>
      </c>
      <c r="I13" s="4">
        <v>1</v>
      </c>
      <c r="J13" s="9">
        <v>44551.441666666666</v>
      </c>
      <c r="K13" s="4">
        <v>9073.0593683590014</v>
      </c>
      <c r="L13" s="4">
        <v>5853.0547506815983</v>
      </c>
      <c r="M13" s="4" t="s">
        <v>9</v>
      </c>
      <c r="N13" s="6">
        <v>3.45</v>
      </c>
      <c r="O13" s="5">
        <v>0</v>
      </c>
      <c r="P13" s="6">
        <v>-3223.47</v>
      </c>
      <c r="Q13" s="5">
        <v>0</v>
      </c>
    </row>
    <row r="14" spans="1:40" x14ac:dyDescent="0.35">
      <c r="A14" s="9">
        <v>44344.158333333333</v>
      </c>
      <c r="B14" s="4" t="s">
        <v>43</v>
      </c>
      <c r="C14" s="6">
        <v>14.93</v>
      </c>
      <c r="D14" s="10">
        <v>0.83089999999999997</v>
      </c>
      <c r="E14" s="6">
        <v>12.405336999999999</v>
      </c>
      <c r="F14" s="11">
        <v>494.9778622</v>
      </c>
      <c r="G14" s="6">
        <v>11.836</v>
      </c>
      <c r="H14" s="6">
        <v>-2.5708045999999989</v>
      </c>
      <c r="I14" s="4">
        <v>1</v>
      </c>
      <c r="J14" s="9">
        <v>44551.441666666666</v>
      </c>
      <c r="K14" s="4">
        <v>9073.0593683590014</v>
      </c>
      <c r="L14" s="4">
        <v>5853.0547506815983</v>
      </c>
      <c r="M14" s="4" t="s">
        <v>9</v>
      </c>
      <c r="N14" s="6">
        <v>3.45</v>
      </c>
      <c r="O14" s="5">
        <v>0</v>
      </c>
      <c r="P14" s="6">
        <v>-3223.47</v>
      </c>
      <c r="Q14" s="5">
        <v>0</v>
      </c>
    </row>
    <row r="15" spans="1:40" x14ac:dyDescent="0.35">
      <c r="A15" s="9">
        <v>44344.158333333333</v>
      </c>
      <c r="B15" s="4" t="s">
        <v>8</v>
      </c>
      <c r="C15" s="6">
        <v>14.93</v>
      </c>
      <c r="D15" s="10">
        <v>5.992</v>
      </c>
      <c r="E15" s="6">
        <v>89.460560000000001</v>
      </c>
      <c r="F15" s="11">
        <v>494.9778622</v>
      </c>
      <c r="G15" s="6">
        <v>11.836</v>
      </c>
      <c r="H15" s="6">
        <v>-18.539248000000001</v>
      </c>
      <c r="I15" s="4">
        <v>1</v>
      </c>
      <c r="J15" s="9">
        <v>44551.441666666666</v>
      </c>
      <c r="K15" s="4">
        <v>9073.0593683590014</v>
      </c>
      <c r="L15" s="4">
        <v>5853.0547506815983</v>
      </c>
      <c r="M15" s="4" t="s">
        <v>9</v>
      </c>
      <c r="N15" s="6">
        <v>3.45</v>
      </c>
      <c r="O15" s="5">
        <v>0</v>
      </c>
      <c r="P15" s="6">
        <v>-3223.47</v>
      </c>
      <c r="Q15" s="5">
        <v>0</v>
      </c>
    </row>
    <row r="16" spans="1:40" x14ac:dyDescent="0.35">
      <c r="A16" s="9">
        <v>44347.983113425929</v>
      </c>
      <c r="B16" s="4" t="s">
        <v>8</v>
      </c>
      <c r="C16" s="6">
        <v>17.809999999999999</v>
      </c>
      <c r="D16" s="10">
        <v>269.05864000000003</v>
      </c>
      <c r="E16" s="6">
        <v>4791.9343784000002</v>
      </c>
      <c r="F16" s="11">
        <v>494.9778622</v>
      </c>
      <c r="G16" s="6">
        <v>11.836</v>
      </c>
      <c r="H16" s="6">
        <v>-1607.3563153599998</v>
      </c>
      <c r="I16" s="4">
        <v>1</v>
      </c>
      <c r="J16" s="9">
        <v>44551.441666666666</v>
      </c>
      <c r="K16" s="4">
        <v>9073.0593683590014</v>
      </c>
      <c r="L16" s="4">
        <v>5853.0547506815983</v>
      </c>
      <c r="M16" s="4" t="s">
        <v>9</v>
      </c>
      <c r="N16" s="6">
        <v>3.45</v>
      </c>
      <c r="O16" s="5">
        <v>0</v>
      </c>
      <c r="P16" s="6">
        <v>-3223.47</v>
      </c>
      <c r="Q16" s="5">
        <v>0</v>
      </c>
    </row>
    <row r="17" spans="1:17" x14ac:dyDescent="0.35">
      <c r="A17" s="9">
        <v>44347.985358796293</v>
      </c>
      <c r="B17" s="4" t="s">
        <v>43</v>
      </c>
      <c r="C17" s="6">
        <v>17.7</v>
      </c>
      <c r="D17" s="10">
        <v>0.62707999999999997</v>
      </c>
      <c r="E17" s="6">
        <v>11.099316</v>
      </c>
      <c r="F17" s="11">
        <v>494.9778622</v>
      </c>
      <c r="G17" s="6">
        <v>11.836</v>
      </c>
      <c r="H17" s="6">
        <v>-3.6771971199999998</v>
      </c>
      <c r="I17" s="4">
        <v>1</v>
      </c>
      <c r="J17" s="9">
        <v>44551.441666666666</v>
      </c>
      <c r="K17" s="4">
        <v>9073.0593683590014</v>
      </c>
      <c r="L17" s="4">
        <v>5853.0547506815983</v>
      </c>
      <c r="M17" s="4" t="s">
        <v>9</v>
      </c>
      <c r="N17" s="6">
        <v>3.45</v>
      </c>
      <c r="O17" s="5">
        <v>0</v>
      </c>
      <c r="P17" s="6">
        <v>-3223.47</v>
      </c>
      <c r="Q17" s="5">
        <v>0</v>
      </c>
    </row>
    <row r="18" spans="1:17" x14ac:dyDescent="0.35">
      <c r="A18" s="9">
        <v>44348</v>
      </c>
      <c r="B18" s="4" t="s">
        <v>43</v>
      </c>
      <c r="C18" s="6">
        <v>18.09</v>
      </c>
      <c r="D18" s="10">
        <v>1.3204939999999965</v>
      </c>
      <c r="E18" s="6">
        <v>23.887736459999935</v>
      </c>
      <c r="F18" s="11">
        <v>494.9778622</v>
      </c>
      <c r="G18" s="6">
        <v>11.836</v>
      </c>
      <c r="H18" s="6">
        <v>-8.2583694759999755</v>
      </c>
      <c r="I18" s="4">
        <v>1</v>
      </c>
      <c r="J18" s="9">
        <v>44551.441666666666</v>
      </c>
      <c r="K18" s="4">
        <v>9073.0593683590014</v>
      </c>
      <c r="L18" s="4">
        <v>5853.0547506815983</v>
      </c>
      <c r="M18" s="4" t="s">
        <v>9</v>
      </c>
      <c r="N18" s="6">
        <v>3.45</v>
      </c>
      <c r="O18" s="5">
        <v>0</v>
      </c>
      <c r="P18" s="6">
        <v>-3223.47</v>
      </c>
      <c r="Q18" s="5">
        <v>0</v>
      </c>
    </row>
    <row r="19" spans="1:17" x14ac:dyDescent="0.35">
      <c r="A19" s="9">
        <v>44349</v>
      </c>
      <c r="B19" s="4" t="s">
        <v>43</v>
      </c>
      <c r="C19" s="6">
        <v>20.52</v>
      </c>
      <c r="D19" s="10">
        <v>1.0760619000000133</v>
      </c>
      <c r="E19" s="6">
        <v>22.080790188000275</v>
      </c>
      <c r="F19" s="11">
        <v>494.9778622</v>
      </c>
      <c r="G19" s="6">
        <v>11.836</v>
      </c>
      <c r="H19" s="6">
        <v>-9.3445215396001178</v>
      </c>
      <c r="I19" s="4">
        <v>1</v>
      </c>
      <c r="J19" s="9">
        <v>44551.441666666666</v>
      </c>
      <c r="K19" s="4">
        <v>9073.0593683590014</v>
      </c>
      <c r="L19" s="4">
        <v>5853.0547506815983</v>
      </c>
      <c r="M19" s="4" t="s">
        <v>9</v>
      </c>
      <c r="N19" s="6">
        <v>3.45</v>
      </c>
      <c r="O19" s="5">
        <v>0</v>
      </c>
      <c r="P19" s="6">
        <v>-3223.47</v>
      </c>
      <c r="Q19" s="5">
        <v>0</v>
      </c>
    </row>
    <row r="20" spans="1:17" x14ac:dyDescent="0.35">
      <c r="A20" s="9">
        <v>44350</v>
      </c>
      <c r="B20" s="4" t="s">
        <v>43</v>
      </c>
      <c r="C20" s="6">
        <v>20</v>
      </c>
      <c r="D20" s="10">
        <v>0.2426356999999939</v>
      </c>
      <c r="E20" s="6">
        <v>4.8527139999998781</v>
      </c>
      <c r="F20" s="11">
        <v>494.9778622</v>
      </c>
      <c r="G20" s="6">
        <v>11.836</v>
      </c>
      <c r="H20" s="6">
        <v>-1.9808778547999504</v>
      </c>
      <c r="I20" s="4">
        <v>1</v>
      </c>
      <c r="J20" s="9">
        <v>44551.441666666666</v>
      </c>
      <c r="K20" s="4">
        <v>9073.0593683590014</v>
      </c>
      <c r="L20" s="4">
        <v>5853.0547506815983</v>
      </c>
      <c r="M20" s="4" t="s">
        <v>9</v>
      </c>
      <c r="N20" s="6">
        <v>3.45</v>
      </c>
      <c r="O20" s="5">
        <v>0</v>
      </c>
      <c r="P20" s="6">
        <v>-3223.47</v>
      </c>
      <c r="Q20" s="5">
        <v>0</v>
      </c>
    </row>
    <row r="21" spans="1:17" x14ac:dyDescent="0.35">
      <c r="A21" s="9">
        <v>44351</v>
      </c>
      <c r="B21" s="4" t="s">
        <v>43</v>
      </c>
      <c r="C21" s="6">
        <v>19</v>
      </c>
      <c r="D21" s="10">
        <v>0.49392380000000458</v>
      </c>
      <c r="E21" s="6">
        <v>9.3845522000000869</v>
      </c>
      <c r="F21" s="11">
        <v>494.9778622</v>
      </c>
      <c r="G21" s="6">
        <v>11.836</v>
      </c>
      <c r="H21" s="6">
        <v>-3.5384701032000327</v>
      </c>
      <c r="I21" s="4">
        <v>1</v>
      </c>
      <c r="J21" s="9">
        <v>44551.441666666666</v>
      </c>
      <c r="K21" s="4">
        <v>9073.0593683590014</v>
      </c>
      <c r="L21" s="4">
        <v>5853.0547506815983</v>
      </c>
      <c r="M21" s="4" t="s">
        <v>9</v>
      </c>
      <c r="N21" s="6">
        <v>3.45</v>
      </c>
      <c r="O21" s="5">
        <v>0</v>
      </c>
      <c r="P21" s="6">
        <v>-3223.47</v>
      </c>
      <c r="Q21" s="5">
        <v>0</v>
      </c>
    </row>
    <row r="22" spans="1:17" x14ac:dyDescent="0.35">
      <c r="A22" s="9">
        <v>44352</v>
      </c>
      <c r="B22" s="4" t="s">
        <v>43</v>
      </c>
      <c r="C22" s="6">
        <v>19.25</v>
      </c>
      <c r="D22" s="10">
        <v>0.95322479999998677</v>
      </c>
      <c r="E22" s="6">
        <v>18.349577399999745</v>
      </c>
      <c r="F22" s="11">
        <v>494.9778622</v>
      </c>
      <c r="G22" s="6">
        <v>11.836</v>
      </c>
      <c r="H22" s="6">
        <v>-7.0672086671999015</v>
      </c>
      <c r="I22" s="4">
        <v>1</v>
      </c>
      <c r="J22" s="9">
        <v>44551.441666666666</v>
      </c>
      <c r="K22" s="4">
        <v>9073.0593683590014</v>
      </c>
      <c r="L22" s="4">
        <v>5853.0547506815983</v>
      </c>
      <c r="M22" s="4" t="s">
        <v>9</v>
      </c>
      <c r="N22" s="6">
        <v>3.45</v>
      </c>
      <c r="O22" s="5">
        <v>0</v>
      </c>
      <c r="P22" s="6">
        <v>-3223.47</v>
      </c>
      <c r="Q22" s="5">
        <v>0</v>
      </c>
    </row>
    <row r="23" spans="1:17" x14ac:dyDescent="0.35">
      <c r="A23" s="9">
        <v>44353</v>
      </c>
      <c r="B23" s="4" t="s">
        <v>43</v>
      </c>
      <c r="C23" s="6">
        <v>18.28</v>
      </c>
      <c r="D23" s="10">
        <v>1.0958092999999849</v>
      </c>
      <c r="E23" s="6">
        <v>20.031394003999722</v>
      </c>
      <c r="F23" s="11">
        <v>494.9778622</v>
      </c>
      <c r="G23" s="6">
        <v>11.836</v>
      </c>
      <c r="H23" s="6">
        <v>-7.0613951291998998</v>
      </c>
      <c r="I23" s="4">
        <v>1</v>
      </c>
      <c r="J23" s="9">
        <v>44551.441666666666</v>
      </c>
      <c r="K23" s="4">
        <v>9073.0593683590014</v>
      </c>
      <c r="L23" s="4">
        <v>5853.0547506815983</v>
      </c>
      <c r="M23" s="4" t="s">
        <v>9</v>
      </c>
      <c r="N23" s="6">
        <v>3.45</v>
      </c>
      <c r="O23" s="5">
        <v>0</v>
      </c>
      <c r="P23" s="6">
        <v>-3223.47</v>
      </c>
      <c r="Q23" s="5">
        <v>0</v>
      </c>
    </row>
    <row r="24" spans="1:17" x14ac:dyDescent="0.35">
      <c r="A24" s="9">
        <v>44354</v>
      </c>
      <c r="B24" s="4" t="s">
        <v>43</v>
      </c>
      <c r="C24" s="6">
        <v>17.11</v>
      </c>
      <c r="D24" s="10">
        <v>0.69968610000000808</v>
      </c>
      <c r="E24" s="6">
        <v>11.971629171000139</v>
      </c>
      <c r="F24" s="11">
        <v>494.9778622</v>
      </c>
      <c r="G24" s="6">
        <v>11.836</v>
      </c>
      <c r="H24" s="6">
        <v>-3.6901444914000425</v>
      </c>
      <c r="I24" s="4">
        <v>1</v>
      </c>
      <c r="J24" s="9">
        <v>44551.441666666666</v>
      </c>
      <c r="K24" s="4">
        <v>9073.0593683590014</v>
      </c>
      <c r="L24" s="4">
        <v>5853.0547506815983</v>
      </c>
      <c r="M24" s="4" t="s">
        <v>9</v>
      </c>
      <c r="N24" s="6">
        <v>3.45</v>
      </c>
      <c r="O24" s="5">
        <v>0</v>
      </c>
      <c r="P24" s="6">
        <v>-3223.47</v>
      </c>
      <c r="Q24" s="5">
        <v>0</v>
      </c>
    </row>
    <row r="25" spans="1:17" x14ac:dyDescent="0.35">
      <c r="A25" s="9">
        <v>44355</v>
      </c>
      <c r="B25" s="4" t="s">
        <v>43</v>
      </c>
      <c r="C25" s="6">
        <v>18.34</v>
      </c>
      <c r="D25" s="10">
        <v>1.3967038000000116</v>
      </c>
      <c r="E25" s="6">
        <v>25.615547692000213</v>
      </c>
      <c r="F25" s="11">
        <v>494.9778622</v>
      </c>
      <c r="G25" s="6">
        <v>11.836</v>
      </c>
      <c r="H25" s="6">
        <v>-9.0841615152000763</v>
      </c>
      <c r="I25" s="4">
        <v>1</v>
      </c>
      <c r="J25" s="9">
        <v>44551.441666666666</v>
      </c>
      <c r="K25" s="4">
        <v>9073.0593683590014</v>
      </c>
      <c r="L25" s="4">
        <v>5853.0547506815983</v>
      </c>
      <c r="M25" s="4" t="s">
        <v>9</v>
      </c>
      <c r="N25" s="6">
        <v>3.45</v>
      </c>
      <c r="O25" s="5">
        <v>0</v>
      </c>
      <c r="P25" s="6">
        <v>-3223.47</v>
      </c>
      <c r="Q25" s="5">
        <v>0</v>
      </c>
    </row>
    <row r="26" spans="1:17" x14ac:dyDescent="0.35">
      <c r="A26" s="9">
        <v>44356</v>
      </c>
      <c r="B26" s="4" t="s">
        <v>43</v>
      </c>
      <c r="C26" s="6">
        <v>18.3</v>
      </c>
      <c r="D26" s="10">
        <v>1.0386560000000031</v>
      </c>
      <c r="E26" s="6">
        <v>19.007404800000057</v>
      </c>
      <c r="F26" s="11">
        <v>494.9778622</v>
      </c>
      <c r="G26" s="6">
        <v>11.836</v>
      </c>
      <c r="H26" s="6">
        <v>-6.7138723840000196</v>
      </c>
      <c r="I26" s="4">
        <v>1</v>
      </c>
      <c r="J26" s="9">
        <v>44551.441666666666</v>
      </c>
      <c r="K26" s="4">
        <v>9073.0593683590014</v>
      </c>
      <c r="L26" s="4">
        <v>5853.0547506815983</v>
      </c>
      <c r="M26" s="4" t="s">
        <v>9</v>
      </c>
      <c r="N26" s="6">
        <v>3.45</v>
      </c>
      <c r="O26" s="5">
        <v>0</v>
      </c>
      <c r="P26" s="6">
        <v>-3223.47</v>
      </c>
      <c r="Q26" s="5">
        <v>0</v>
      </c>
    </row>
    <row r="27" spans="1:17" x14ac:dyDescent="0.35">
      <c r="A27" s="9">
        <v>44357</v>
      </c>
      <c r="B27" s="4" t="s">
        <v>43</v>
      </c>
      <c r="C27" s="6">
        <v>16.190000000000001</v>
      </c>
      <c r="D27" s="10">
        <v>0.43320510000000922</v>
      </c>
      <c r="E27" s="6">
        <v>7.013590569000149</v>
      </c>
      <c r="F27" s="11">
        <v>494.9778622</v>
      </c>
      <c r="G27" s="6">
        <v>11.836</v>
      </c>
      <c r="H27" s="6">
        <v>-1.8861750054000392</v>
      </c>
      <c r="I27" s="4">
        <v>1</v>
      </c>
      <c r="J27" s="9">
        <v>44551.441666666666</v>
      </c>
      <c r="K27" s="4">
        <v>9073.0593683590014</v>
      </c>
      <c r="L27" s="4">
        <v>5853.0547506815983</v>
      </c>
      <c r="M27" s="4" t="s">
        <v>9</v>
      </c>
      <c r="N27" s="6">
        <v>3.45</v>
      </c>
      <c r="O27" s="5">
        <v>0</v>
      </c>
      <c r="P27" s="6">
        <v>-3223.47</v>
      </c>
      <c r="Q27" s="5">
        <v>0</v>
      </c>
    </row>
    <row r="28" spans="1:17" x14ac:dyDescent="0.35">
      <c r="A28" s="9">
        <v>44358</v>
      </c>
      <c r="B28" s="4" t="s">
        <v>43</v>
      </c>
      <c r="C28" s="6">
        <v>16.93</v>
      </c>
      <c r="D28" s="10">
        <v>0.25164439999997512</v>
      </c>
      <c r="E28" s="6">
        <v>4.2603396919995786</v>
      </c>
      <c r="F28" s="11">
        <v>494.9778622</v>
      </c>
      <c r="G28" s="6">
        <v>11.836</v>
      </c>
      <c r="H28" s="6">
        <v>-1.2818765735998729</v>
      </c>
      <c r="I28" s="4">
        <v>1</v>
      </c>
      <c r="J28" s="9">
        <v>44551.441666666666</v>
      </c>
      <c r="K28" s="4">
        <v>9073.0593683590014</v>
      </c>
      <c r="L28" s="4">
        <v>5853.0547506815983</v>
      </c>
      <c r="M28" s="4" t="s">
        <v>9</v>
      </c>
      <c r="N28" s="6">
        <v>3.45</v>
      </c>
      <c r="O28" s="5">
        <v>0</v>
      </c>
      <c r="P28" s="6">
        <v>-3223.47</v>
      </c>
      <c r="Q28" s="5">
        <v>0</v>
      </c>
    </row>
    <row r="29" spans="1:17" x14ac:dyDescent="0.35">
      <c r="A29" s="9">
        <v>44359</v>
      </c>
      <c r="B29" s="4" t="s">
        <v>43</v>
      </c>
      <c r="C29" s="6">
        <v>16.97</v>
      </c>
      <c r="D29" s="10">
        <v>1.4615779000000089</v>
      </c>
      <c r="E29" s="6">
        <v>24.802976963000152</v>
      </c>
      <c r="F29" s="11">
        <v>494.9778622</v>
      </c>
      <c r="G29" s="6">
        <v>11.836</v>
      </c>
      <c r="H29" s="6">
        <v>-7.5037409386000462</v>
      </c>
      <c r="I29" s="4">
        <v>1</v>
      </c>
      <c r="J29" s="9">
        <v>44551.441666666666</v>
      </c>
      <c r="K29" s="4">
        <v>9073.0593683590014</v>
      </c>
      <c r="L29" s="4">
        <v>5853.0547506815983</v>
      </c>
      <c r="M29" s="4" t="s">
        <v>9</v>
      </c>
      <c r="N29" s="6">
        <v>3.45</v>
      </c>
      <c r="O29" s="5">
        <v>0</v>
      </c>
      <c r="P29" s="6">
        <v>-3223.47</v>
      </c>
      <c r="Q29" s="5">
        <v>0</v>
      </c>
    </row>
    <row r="30" spans="1:17" x14ac:dyDescent="0.35">
      <c r="A30" s="9">
        <v>44360</v>
      </c>
      <c r="B30" s="4" t="s">
        <v>43</v>
      </c>
      <c r="C30" s="6">
        <v>17.5</v>
      </c>
      <c r="D30" s="10">
        <v>0.95699239999999008</v>
      </c>
      <c r="E30" s="6">
        <v>16.747366999999826</v>
      </c>
      <c r="F30" s="11">
        <v>494.9778622</v>
      </c>
      <c r="G30" s="6">
        <v>11.836</v>
      </c>
      <c r="H30" s="6">
        <v>-5.4204049535999435</v>
      </c>
      <c r="I30" s="4">
        <v>1</v>
      </c>
      <c r="J30" s="9">
        <v>44551.441666666666</v>
      </c>
      <c r="K30" s="4">
        <v>9073.0593683590014</v>
      </c>
      <c r="L30" s="4">
        <v>5853.0547506815983</v>
      </c>
      <c r="M30" s="4" t="s">
        <v>9</v>
      </c>
      <c r="N30" s="6">
        <v>3.45</v>
      </c>
      <c r="O30" s="5">
        <v>0</v>
      </c>
      <c r="P30" s="6">
        <v>-3223.47</v>
      </c>
      <c r="Q30" s="5">
        <v>0</v>
      </c>
    </row>
    <row r="31" spans="1:17" x14ac:dyDescent="0.35">
      <c r="A31" s="9">
        <v>44361</v>
      </c>
      <c r="B31" s="4" t="s">
        <v>43</v>
      </c>
      <c r="C31" s="6">
        <v>18.02</v>
      </c>
      <c r="D31" s="10">
        <v>0.99890229999999747</v>
      </c>
      <c r="E31" s="6">
        <v>18.000219445999953</v>
      </c>
      <c r="F31" s="11">
        <v>494.9778622</v>
      </c>
      <c r="G31" s="6">
        <v>11.836</v>
      </c>
      <c r="H31" s="6">
        <v>-6.1772118231999826</v>
      </c>
      <c r="I31" s="4">
        <v>1</v>
      </c>
      <c r="J31" s="9">
        <v>44551.441666666666</v>
      </c>
      <c r="K31" s="4">
        <v>9073.0593683590014</v>
      </c>
      <c r="L31" s="4">
        <v>5853.0547506815983</v>
      </c>
      <c r="M31" s="4" t="s">
        <v>9</v>
      </c>
      <c r="N31" s="6">
        <v>3.45</v>
      </c>
      <c r="O31" s="5">
        <v>0</v>
      </c>
      <c r="P31" s="6">
        <v>-3223.47</v>
      </c>
      <c r="Q31" s="5">
        <v>0</v>
      </c>
    </row>
    <row r="32" spans="1:17" x14ac:dyDescent="0.35">
      <c r="A32" s="9">
        <v>44362</v>
      </c>
      <c r="B32" s="4" t="s">
        <v>43</v>
      </c>
      <c r="C32" s="6">
        <v>17.899999999999999</v>
      </c>
      <c r="D32" s="10">
        <v>0.81731830000001082</v>
      </c>
      <c r="E32" s="6">
        <v>14.629997570000194</v>
      </c>
      <c r="F32" s="11">
        <v>494.9778622</v>
      </c>
      <c r="G32" s="6">
        <v>11.836</v>
      </c>
      <c r="H32" s="6">
        <v>-4.9562181712000655</v>
      </c>
      <c r="I32" s="4">
        <v>1</v>
      </c>
      <c r="J32" s="9">
        <v>44551.441666666666</v>
      </c>
      <c r="K32" s="4">
        <v>9073.0593683590014</v>
      </c>
      <c r="L32" s="4">
        <v>5853.0547506815983</v>
      </c>
      <c r="M32" s="4" t="s">
        <v>9</v>
      </c>
      <c r="N32" s="6">
        <v>3.45</v>
      </c>
      <c r="O32" s="5">
        <v>0</v>
      </c>
      <c r="P32" s="6">
        <v>-3223.47</v>
      </c>
      <c r="Q32" s="5">
        <v>0</v>
      </c>
    </row>
    <row r="33" spans="1:17" x14ac:dyDescent="0.35">
      <c r="A33" s="9">
        <v>44363</v>
      </c>
      <c r="B33" s="4" t="s">
        <v>43</v>
      </c>
      <c r="C33" s="6">
        <v>16.75</v>
      </c>
      <c r="D33" s="10">
        <v>1.0864373000000001</v>
      </c>
      <c r="E33" s="6">
        <v>18.197824775000001</v>
      </c>
      <c r="F33" s="11">
        <v>494.9778622</v>
      </c>
      <c r="G33" s="6">
        <v>11.836</v>
      </c>
      <c r="H33" s="6">
        <v>-5.3387528922000005</v>
      </c>
      <c r="I33" s="4">
        <v>1</v>
      </c>
      <c r="J33" s="9">
        <v>44551.441666666666</v>
      </c>
      <c r="K33" s="4">
        <v>9073.0593683590014</v>
      </c>
      <c r="L33" s="4">
        <v>5853.0547506815983</v>
      </c>
      <c r="M33" s="4" t="s">
        <v>9</v>
      </c>
      <c r="N33" s="6">
        <v>3.45</v>
      </c>
      <c r="O33" s="5">
        <v>0</v>
      </c>
      <c r="P33" s="6">
        <v>-3223.47</v>
      </c>
      <c r="Q33" s="5">
        <v>0</v>
      </c>
    </row>
    <row r="34" spans="1:17" x14ac:dyDescent="0.35">
      <c r="A34" s="9">
        <v>44364</v>
      </c>
      <c r="B34" s="4" t="s">
        <v>43</v>
      </c>
      <c r="C34" s="6">
        <v>16</v>
      </c>
      <c r="D34" s="10">
        <v>1.2019941000000358</v>
      </c>
      <c r="E34" s="6">
        <v>19.231905600000573</v>
      </c>
      <c r="F34" s="11">
        <v>494.9778622</v>
      </c>
      <c r="G34" s="6">
        <v>11.836</v>
      </c>
      <c r="H34" s="6">
        <v>-5.0051034324001495</v>
      </c>
      <c r="I34" s="4">
        <v>1</v>
      </c>
      <c r="J34" s="9">
        <v>44551.441666666666</v>
      </c>
      <c r="K34" s="4">
        <v>9073.0593683590014</v>
      </c>
      <c r="L34" s="4">
        <v>5853.0547506815983</v>
      </c>
      <c r="M34" s="4" t="s">
        <v>9</v>
      </c>
      <c r="N34" s="6">
        <v>3.45</v>
      </c>
      <c r="O34" s="5">
        <v>0</v>
      </c>
      <c r="P34" s="6">
        <v>-3223.47</v>
      </c>
      <c r="Q34" s="5">
        <v>0</v>
      </c>
    </row>
    <row r="35" spans="1:17" x14ac:dyDescent="0.35">
      <c r="A35" s="9">
        <v>44365</v>
      </c>
      <c r="B35" s="4" t="s">
        <v>43</v>
      </c>
      <c r="C35" s="6">
        <v>16.02</v>
      </c>
      <c r="D35" s="10">
        <v>0.46197119999999359</v>
      </c>
      <c r="E35" s="6">
        <v>7.4007786239998969</v>
      </c>
      <c r="F35" s="11">
        <v>494.9778622</v>
      </c>
      <c r="G35" s="6">
        <v>11.836</v>
      </c>
      <c r="H35" s="6">
        <v>-1.9328875007999731</v>
      </c>
      <c r="I35" s="4">
        <v>1</v>
      </c>
      <c r="J35" s="9">
        <v>44551.441666666666</v>
      </c>
      <c r="K35" s="4">
        <v>9073.0593683590014</v>
      </c>
      <c r="L35" s="4">
        <v>5853.0547506815983</v>
      </c>
      <c r="M35" s="4" t="s">
        <v>9</v>
      </c>
      <c r="N35" s="6">
        <v>3.45</v>
      </c>
      <c r="O35" s="5">
        <v>0</v>
      </c>
      <c r="P35" s="6">
        <v>-3223.47</v>
      </c>
      <c r="Q35" s="5">
        <v>0</v>
      </c>
    </row>
    <row r="36" spans="1:17" x14ac:dyDescent="0.35">
      <c r="A36" s="9">
        <v>44366</v>
      </c>
      <c r="B36" s="4" t="s">
        <v>43</v>
      </c>
      <c r="C36" s="6">
        <v>16.48</v>
      </c>
      <c r="D36" s="10">
        <v>1.0453319000000079</v>
      </c>
      <c r="E36" s="6">
        <v>17.22706971200013</v>
      </c>
      <c r="F36" s="11">
        <v>494.9778622</v>
      </c>
      <c r="G36" s="6">
        <v>11.836</v>
      </c>
      <c r="H36" s="6">
        <v>-4.8545213436000374</v>
      </c>
      <c r="I36" s="4">
        <v>1</v>
      </c>
      <c r="J36" s="9">
        <v>44551.441666666666</v>
      </c>
      <c r="K36" s="4">
        <v>9073.0593683590014</v>
      </c>
      <c r="L36" s="4">
        <v>5853.0547506815983</v>
      </c>
      <c r="M36" s="4" t="s">
        <v>9</v>
      </c>
      <c r="N36" s="6">
        <v>3.45</v>
      </c>
      <c r="O36" s="5">
        <v>0</v>
      </c>
      <c r="P36" s="6">
        <v>-3223.47</v>
      </c>
      <c r="Q36" s="5">
        <v>0</v>
      </c>
    </row>
    <row r="37" spans="1:17" x14ac:dyDescent="0.35">
      <c r="A37" s="9">
        <v>44367</v>
      </c>
      <c r="B37" s="4" t="s">
        <v>43</v>
      </c>
      <c r="C37" s="6">
        <v>14.33</v>
      </c>
      <c r="D37" s="10">
        <v>1.0501239999999825</v>
      </c>
      <c r="E37" s="6">
        <v>15.048276919999749</v>
      </c>
      <c r="F37" s="11">
        <v>494.9778622</v>
      </c>
      <c r="G37" s="6">
        <v>11.836</v>
      </c>
      <c r="H37" s="6">
        <v>-2.6190092559999556</v>
      </c>
      <c r="I37" s="4">
        <v>1</v>
      </c>
      <c r="J37" s="9">
        <v>44551.441666666666</v>
      </c>
      <c r="K37" s="4">
        <v>9073.0593683590014</v>
      </c>
      <c r="L37" s="4">
        <v>5853.0547506815983</v>
      </c>
      <c r="M37" s="4" t="s">
        <v>9</v>
      </c>
      <c r="N37" s="6">
        <v>3.45</v>
      </c>
      <c r="O37" s="5">
        <v>0</v>
      </c>
      <c r="P37" s="6">
        <v>-3223.47</v>
      </c>
      <c r="Q37" s="5">
        <v>0</v>
      </c>
    </row>
    <row r="38" spans="1:17" x14ac:dyDescent="0.35">
      <c r="A38" s="9">
        <v>44368</v>
      </c>
      <c r="B38" s="4" t="s">
        <v>43</v>
      </c>
      <c r="C38" s="6">
        <v>12.62</v>
      </c>
      <c r="D38" s="10">
        <v>0.8001269000000093</v>
      </c>
      <c r="E38" s="6">
        <v>10.097601478000117</v>
      </c>
      <c r="F38" s="11">
        <v>494.9778622</v>
      </c>
      <c r="G38" s="6">
        <v>11.836</v>
      </c>
      <c r="H38" s="6">
        <v>-0.6272994896000057</v>
      </c>
      <c r="I38" s="4">
        <v>1</v>
      </c>
      <c r="J38" s="9">
        <v>44551.441666666666</v>
      </c>
      <c r="K38" s="4">
        <v>9073.0593683590014</v>
      </c>
      <c r="L38" s="4">
        <v>5853.0547506815983</v>
      </c>
      <c r="M38" s="4" t="s">
        <v>9</v>
      </c>
      <c r="N38" s="6">
        <v>3.45</v>
      </c>
      <c r="O38" s="5">
        <v>0</v>
      </c>
      <c r="P38" s="6">
        <v>-3223.47</v>
      </c>
      <c r="Q38" s="5">
        <v>0</v>
      </c>
    </row>
    <row r="39" spans="1:17" x14ac:dyDescent="0.35">
      <c r="A39" s="9">
        <v>44369</v>
      </c>
      <c r="B39" s="4" t="s">
        <v>43</v>
      </c>
      <c r="C39" s="6">
        <v>13.22</v>
      </c>
      <c r="D39" s="10">
        <v>1.3241325999999844</v>
      </c>
      <c r="E39" s="6">
        <v>17.505032971999796</v>
      </c>
      <c r="F39" s="11">
        <v>494.9778622</v>
      </c>
      <c r="G39" s="6">
        <v>11.836</v>
      </c>
      <c r="H39" s="6">
        <v>-1.832599518399979</v>
      </c>
      <c r="I39" s="4">
        <v>1</v>
      </c>
      <c r="J39" s="9">
        <v>44551.441666666666</v>
      </c>
      <c r="K39" s="4">
        <v>9073.0593683590014</v>
      </c>
      <c r="L39" s="4">
        <v>5853.0547506815983</v>
      </c>
      <c r="M39" s="4" t="s">
        <v>9</v>
      </c>
      <c r="N39" s="6">
        <v>3.45</v>
      </c>
      <c r="O39" s="5">
        <v>0</v>
      </c>
      <c r="P39" s="6">
        <v>-3223.47</v>
      </c>
      <c r="Q39" s="5">
        <v>0</v>
      </c>
    </row>
    <row r="40" spans="1:17" x14ac:dyDescent="0.35">
      <c r="A40" s="9">
        <v>44370</v>
      </c>
      <c r="B40" s="4" t="s">
        <v>43</v>
      </c>
      <c r="C40" s="6">
        <v>14.55</v>
      </c>
      <c r="D40" s="10">
        <v>0.64330990000001975</v>
      </c>
      <c r="E40" s="6">
        <v>9.3601590450002874</v>
      </c>
      <c r="F40" s="11">
        <v>494.9778622</v>
      </c>
      <c r="G40" s="6">
        <v>11.836</v>
      </c>
      <c r="H40" s="6">
        <v>-1.7459430686000532</v>
      </c>
      <c r="I40" s="4">
        <v>1</v>
      </c>
      <c r="J40" s="9">
        <v>44551.441666666666</v>
      </c>
      <c r="K40" s="4">
        <v>9073.0593683590014</v>
      </c>
      <c r="L40" s="4">
        <v>5853.0547506815983</v>
      </c>
      <c r="M40" s="4" t="s">
        <v>9</v>
      </c>
      <c r="N40" s="6">
        <v>3.45</v>
      </c>
      <c r="O40" s="5">
        <v>0</v>
      </c>
      <c r="P40" s="6">
        <v>-3223.47</v>
      </c>
      <c r="Q40" s="5">
        <v>0</v>
      </c>
    </row>
    <row r="41" spans="1:17" x14ac:dyDescent="0.35">
      <c r="A41" s="9">
        <v>44371</v>
      </c>
      <c r="B41" s="4" t="s">
        <v>43</v>
      </c>
      <c r="C41" s="6">
        <v>13.84</v>
      </c>
      <c r="D41" s="10">
        <v>0.29238719999995055</v>
      </c>
      <c r="E41" s="6">
        <v>4.0466388479993158</v>
      </c>
      <c r="F41" s="11">
        <v>494.9778622</v>
      </c>
      <c r="G41" s="6">
        <v>11.836</v>
      </c>
      <c r="H41" s="6">
        <v>-0.58594394879990119</v>
      </c>
      <c r="I41" s="4">
        <v>1</v>
      </c>
      <c r="J41" s="9">
        <v>44551.441666666666</v>
      </c>
      <c r="K41" s="4">
        <v>9073.0593683590014</v>
      </c>
      <c r="L41" s="4">
        <v>5853.0547506815983</v>
      </c>
      <c r="M41" s="4" t="s">
        <v>9</v>
      </c>
      <c r="N41" s="6">
        <v>3.45</v>
      </c>
      <c r="O41" s="5">
        <v>0</v>
      </c>
      <c r="P41" s="6">
        <v>-3223.47</v>
      </c>
      <c r="Q41" s="5">
        <v>0</v>
      </c>
    </row>
    <row r="42" spans="1:17" x14ac:dyDescent="0.35">
      <c r="A42" s="9">
        <v>44372</v>
      </c>
      <c r="B42" s="4" t="s">
        <v>43</v>
      </c>
      <c r="C42" s="6">
        <v>12.36</v>
      </c>
      <c r="D42" s="10">
        <v>1.3910337000000368</v>
      </c>
      <c r="E42" s="6">
        <v>17.193176532000454</v>
      </c>
      <c r="F42" s="11">
        <v>494.9778622</v>
      </c>
      <c r="G42" s="6">
        <v>11.836</v>
      </c>
      <c r="H42" s="6">
        <v>-0.72890165880001945</v>
      </c>
      <c r="I42" s="4">
        <v>1</v>
      </c>
      <c r="J42" s="9">
        <v>44551.441666666666</v>
      </c>
      <c r="K42" s="4">
        <v>9073.0593683590014</v>
      </c>
      <c r="L42" s="4">
        <v>5853.0547506815983</v>
      </c>
      <c r="M42" s="4" t="s">
        <v>9</v>
      </c>
      <c r="N42" s="6">
        <v>3.45</v>
      </c>
      <c r="O42" s="5">
        <v>0</v>
      </c>
      <c r="P42" s="6">
        <v>-3223.47</v>
      </c>
      <c r="Q42" s="5">
        <v>0</v>
      </c>
    </row>
    <row r="43" spans="1:17" x14ac:dyDescent="0.35">
      <c r="A43" s="9">
        <v>44373</v>
      </c>
      <c r="B43" s="4" t="s">
        <v>43</v>
      </c>
      <c r="C43" s="6">
        <v>13.79</v>
      </c>
      <c r="D43" s="10">
        <v>0.87571059999999079</v>
      </c>
      <c r="E43" s="6">
        <v>12.076049173999873</v>
      </c>
      <c r="F43" s="11">
        <v>494.9778622</v>
      </c>
      <c r="G43" s="6">
        <v>11.836</v>
      </c>
      <c r="H43" s="6">
        <v>-1.711138512399982</v>
      </c>
      <c r="I43" s="4">
        <v>1</v>
      </c>
      <c r="J43" s="9">
        <v>44551.441666666666</v>
      </c>
      <c r="K43" s="4">
        <v>9073.0593683590014</v>
      </c>
      <c r="L43" s="4">
        <v>5853.0547506815983</v>
      </c>
      <c r="M43" s="4" t="s">
        <v>9</v>
      </c>
      <c r="N43" s="6">
        <v>3.45</v>
      </c>
      <c r="O43" s="5">
        <v>0</v>
      </c>
      <c r="P43" s="6">
        <v>-3223.47</v>
      </c>
      <c r="Q43" s="5">
        <v>0</v>
      </c>
    </row>
    <row r="44" spans="1:17" x14ac:dyDescent="0.35">
      <c r="A44" s="9">
        <v>44374</v>
      </c>
      <c r="B44" s="4" t="s">
        <v>43</v>
      </c>
      <c r="C44" s="6">
        <v>13.91</v>
      </c>
      <c r="D44" s="10">
        <v>0.49485329999998839</v>
      </c>
      <c r="E44" s="6">
        <v>6.8834094029998383</v>
      </c>
      <c r="F44" s="11">
        <v>494.9778622</v>
      </c>
      <c r="G44" s="6">
        <v>11.836</v>
      </c>
      <c r="H44" s="6">
        <v>-1.0263257441999754</v>
      </c>
      <c r="I44" s="4">
        <v>1</v>
      </c>
      <c r="J44" s="9">
        <v>44551.441666666666</v>
      </c>
      <c r="K44" s="4">
        <v>9073.0593683590014</v>
      </c>
      <c r="L44" s="4">
        <v>5853.0547506815983</v>
      </c>
      <c r="M44" s="4" t="s">
        <v>9</v>
      </c>
      <c r="N44" s="6">
        <v>3.45</v>
      </c>
      <c r="O44" s="5">
        <v>0</v>
      </c>
      <c r="P44" s="6">
        <v>-3223.47</v>
      </c>
      <c r="Q44" s="5">
        <v>0</v>
      </c>
    </row>
    <row r="45" spans="1:17" x14ac:dyDescent="0.35">
      <c r="A45" s="9">
        <v>44375</v>
      </c>
      <c r="B45" s="4" t="s">
        <v>43</v>
      </c>
      <c r="C45" s="6">
        <v>14.48</v>
      </c>
      <c r="D45" s="10">
        <v>1.1499001999999905</v>
      </c>
      <c r="E45" s="6">
        <v>16.650554895999861</v>
      </c>
      <c r="F45" s="11">
        <v>494.9778622</v>
      </c>
      <c r="G45" s="6">
        <v>11.836</v>
      </c>
      <c r="H45" s="6">
        <v>-3.0403361287999733</v>
      </c>
      <c r="I45" s="4">
        <v>1</v>
      </c>
      <c r="J45" s="9">
        <v>44551.441666666666</v>
      </c>
      <c r="K45" s="4">
        <v>9073.0593683590014</v>
      </c>
      <c r="L45" s="4">
        <v>5853.0547506815983</v>
      </c>
      <c r="M45" s="4" t="s">
        <v>9</v>
      </c>
      <c r="N45" s="6">
        <v>3.45</v>
      </c>
      <c r="O45" s="5">
        <v>0</v>
      </c>
      <c r="P45" s="6">
        <v>-3223.47</v>
      </c>
      <c r="Q45" s="5">
        <v>0</v>
      </c>
    </row>
    <row r="46" spans="1:17" x14ac:dyDescent="0.35">
      <c r="A46" s="9">
        <v>44376</v>
      </c>
      <c r="B46" s="4" t="s">
        <v>43</v>
      </c>
      <c r="C46" s="6">
        <v>14.17</v>
      </c>
      <c r="D46" s="10">
        <v>0.71408010000004651</v>
      </c>
      <c r="E46" s="6">
        <v>10.118515017000659</v>
      </c>
      <c r="F46" s="11">
        <v>494.9778622</v>
      </c>
      <c r="G46" s="6">
        <v>11.836</v>
      </c>
      <c r="H46" s="6">
        <v>-1.6666629534001078</v>
      </c>
      <c r="I46" s="4">
        <v>1</v>
      </c>
      <c r="J46" s="9">
        <v>44551.441666666666</v>
      </c>
      <c r="K46" s="4">
        <v>9073.0593683590014</v>
      </c>
      <c r="L46" s="4">
        <v>5853.0547506815983</v>
      </c>
      <c r="M46" s="4" t="s">
        <v>9</v>
      </c>
      <c r="N46" s="6">
        <v>3.45</v>
      </c>
      <c r="O46" s="5">
        <v>0</v>
      </c>
      <c r="P46" s="6">
        <v>-3223.47</v>
      </c>
      <c r="Q46" s="5">
        <v>0</v>
      </c>
    </row>
    <row r="47" spans="1:17" x14ac:dyDescent="0.35">
      <c r="A47" s="9">
        <v>44377</v>
      </c>
      <c r="B47" s="4" t="s">
        <v>43</v>
      </c>
      <c r="C47" s="6">
        <v>13.19</v>
      </c>
      <c r="D47" s="10">
        <v>0.34019339999997555</v>
      </c>
      <c r="E47" s="6">
        <v>4.4871509459996775</v>
      </c>
      <c r="F47" s="11">
        <v>494.9778622</v>
      </c>
      <c r="G47" s="6">
        <v>11.836</v>
      </c>
      <c r="H47" s="6">
        <v>-0.46062186359996637</v>
      </c>
      <c r="I47" s="4">
        <v>1</v>
      </c>
      <c r="J47" s="9">
        <v>44551.441666666666</v>
      </c>
      <c r="K47" s="4">
        <v>9073.0593683590014</v>
      </c>
      <c r="L47" s="4">
        <v>5853.0547506815983</v>
      </c>
      <c r="M47" s="4" t="s">
        <v>9</v>
      </c>
      <c r="N47" s="6">
        <v>3.45</v>
      </c>
      <c r="O47" s="5">
        <v>0</v>
      </c>
      <c r="P47" s="6">
        <v>-3223.47</v>
      </c>
      <c r="Q47" s="5">
        <v>0</v>
      </c>
    </row>
    <row r="48" spans="1:17" x14ac:dyDescent="0.35">
      <c r="A48" s="9">
        <v>44378</v>
      </c>
      <c r="B48" s="4" t="s">
        <v>43</v>
      </c>
      <c r="C48" s="6">
        <v>13.21</v>
      </c>
      <c r="D48" s="10">
        <v>1.4122014999999806</v>
      </c>
      <c r="E48" s="6">
        <v>18.655181814999743</v>
      </c>
      <c r="F48" s="11">
        <v>494.9778622</v>
      </c>
      <c r="G48" s="6">
        <v>11.836</v>
      </c>
      <c r="H48" s="6">
        <v>-1.9403648609999742</v>
      </c>
      <c r="I48" s="4">
        <v>1</v>
      </c>
      <c r="J48" s="9">
        <v>44551.441666666666</v>
      </c>
      <c r="K48" s="4">
        <v>9073.0593683590014</v>
      </c>
      <c r="L48" s="4">
        <v>5853.0547506815983</v>
      </c>
      <c r="M48" s="4" t="s">
        <v>9</v>
      </c>
      <c r="N48" s="6">
        <v>3.45</v>
      </c>
      <c r="O48" s="5">
        <v>0</v>
      </c>
      <c r="P48" s="6">
        <v>-3223.47</v>
      </c>
      <c r="Q48" s="5">
        <v>0</v>
      </c>
    </row>
    <row r="49" spans="1:17" x14ac:dyDescent="0.35">
      <c r="A49" s="9">
        <v>44379</v>
      </c>
      <c r="B49" s="4" t="s">
        <v>43</v>
      </c>
      <c r="C49" s="6">
        <v>13.88</v>
      </c>
      <c r="D49" s="10">
        <v>0.70288080000000264</v>
      </c>
      <c r="E49" s="6">
        <v>9.7559855040000372</v>
      </c>
      <c r="F49" s="11">
        <v>494.9778622</v>
      </c>
      <c r="G49" s="6">
        <v>11.836</v>
      </c>
      <c r="H49" s="6">
        <v>-1.4366883552000065</v>
      </c>
      <c r="I49" s="4">
        <v>1</v>
      </c>
      <c r="J49" s="9">
        <v>44551.441666666666</v>
      </c>
      <c r="K49" s="4">
        <v>9073.0593683590014</v>
      </c>
      <c r="L49" s="4">
        <v>5853.0547506815983</v>
      </c>
      <c r="M49" s="4" t="s">
        <v>9</v>
      </c>
      <c r="N49" s="6">
        <v>3.45</v>
      </c>
      <c r="O49" s="5">
        <v>0</v>
      </c>
      <c r="P49" s="6">
        <v>-3223.47</v>
      </c>
      <c r="Q49" s="5">
        <v>0</v>
      </c>
    </row>
    <row r="50" spans="1:17" x14ac:dyDescent="0.35">
      <c r="A50" s="9">
        <v>44380</v>
      </c>
      <c r="B50" s="4" t="s">
        <v>43</v>
      </c>
      <c r="C50" s="6">
        <v>14.85</v>
      </c>
      <c r="D50" s="10">
        <v>0.85278170000003684</v>
      </c>
      <c r="E50" s="6">
        <v>12.663808245000547</v>
      </c>
      <c r="F50" s="11">
        <v>494.9778622</v>
      </c>
      <c r="G50" s="6">
        <v>11.836</v>
      </c>
      <c r="H50" s="6">
        <v>-2.5702840438001111</v>
      </c>
      <c r="I50" s="4">
        <v>1</v>
      </c>
      <c r="J50" s="9">
        <v>44551.441666666666</v>
      </c>
      <c r="K50" s="4">
        <v>9073.0593683590014</v>
      </c>
      <c r="L50" s="4">
        <v>5853.0547506815983</v>
      </c>
      <c r="M50" s="4" t="s">
        <v>9</v>
      </c>
      <c r="N50" s="6">
        <v>3.45</v>
      </c>
      <c r="O50" s="5">
        <v>0</v>
      </c>
      <c r="P50" s="6">
        <v>-3223.47</v>
      </c>
      <c r="Q50" s="5">
        <v>0</v>
      </c>
    </row>
    <row r="51" spans="1:17" x14ac:dyDescent="0.35">
      <c r="A51" s="9">
        <v>44381</v>
      </c>
      <c r="B51" s="4" t="s">
        <v>43</v>
      </c>
      <c r="C51" s="6">
        <v>14.67</v>
      </c>
      <c r="D51" s="10">
        <v>0.77209649999997509</v>
      </c>
      <c r="E51" s="6">
        <v>11.326655654999634</v>
      </c>
      <c r="F51" s="11">
        <v>494.9778622</v>
      </c>
      <c r="G51" s="6">
        <v>11.836</v>
      </c>
      <c r="H51" s="6">
        <v>-2.1881214809999285</v>
      </c>
      <c r="I51" s="4">
        <v>1</v>
      </c>
      <c r="J51" s="9">
        <v>44551.441666666666</v>
      </c>
      <c r="K51" s="4">
        <v>9073.0593683590014</v>
      </c>
      <c r="L51" s="4">
        <v>5853.0547506815983</v>
      </c>
      <c r="M51" s="4" t="s">
        <v>9</v>
      </c>
      <c r="N51" s="6">
        <v>3.45</v>
      </c>
      <c r="O51" s="5">
        <v>0</v>
      </c>
      <c r="P51" s="6">
        <v>-3223.47</v>
      </c>
      <c r="Q51" s="5">
        <v>0</v>
      </c>
    </row>
    <row r="52" spans="1:17" x14ac:dyDescent="0.35">
      <c r="A52" s="9">
        <v>44382</v>
      </c>
      <c r="B52" s="4" t="s">
        <v>43</v>
      </c>
      <c r="C52" s="6">
        <v>15.46</v>
      </c>
      <c r="D52" s="10">
        <v>0.44279690000001892</v>
      </c>
      <c r="E52" s="6">
        <v>6.8456400740002925</v>
      </c>
      <c r="F52" s="11">
        <v>494.9778622</v>
      </c>
      <c r="G52" s="6">
        <v>11.836</v>
      </c>
      <c r="H52" s="6">
        <v>-1.6046959656000688</v>
      </c>
      <c r="I52" s="4">
        <v>1</v>
      </c>
      <c r="J52" s="9">
        <v>44551.441666666666</v>
      </c>
      <c r="K52" s="4">
        <v>9073.0593683590014</v>
      </c>
      <c r="L52" s="4">
        <v>5853.0547506815983</v>
      </c>
      <c r="M52" s="4" t="s">
        <v>9</v>
      </c>
      <c r="N52" s="6">
        <v>3.45</v>
      </c>
      <c r="O52" s="5">
        <v>0</v>
      </c>
      <c r="P52" s="6">
        <v>-3223.47</v>
      </c>
      <c r="Q52" s="5">
        <v>0</v>
      </c>
    </row>
    <row r="53" spans="1:17" x14ac:dyDescent="0.35">
      <c r="A53" s="9">
        <v>44383</v>
      </c>
      <c r="B53" s="4" t="s">
        <v>43</v>
      </c>
      <c r="C53" s="6">
        <v>15.55</v>
      </c>
      <c r="D53" s="10">
        <v>1.2696697999999742</v>
      </c>
      <c r="E53" s="6">
        <v>19.7433653899996</v>
      </c>
      <c r="F53" s="11">
        <v>494.9778622</v>
      </c>
      <c r="G53" s="6">
        <v>11.836</v>
      </c>
      <c r="H53" s="6">
        <v>-4.7155536371999052</v>
      </c>
      <c r="I53" s="4">
        <v>1</v>
      </c>
      <c r="J53" s="9">
        <v>44551.441666666666</v>
      </c>
      <c r="K53" s="4">
        <v>9073.0593683590014</v>
      </c>
      <c r="L53" s="4">
        <v>5853.0547506815983</v>
      </c>
      <c r="M53" s="4" t="s">
        <v>9</v>
      </c>
      <c r="N53" s="6">
        <v>3.45</v>
      </c>
      <c r="O53" s="5">
        <v>0</v>
      </c>
      <c r="P53" s="6">
        <v>-3223.47</v>
      </c>
      <c r="Q53" s="5">
        <v>0</v>
      </c>
    </row>
    <row r="54" spans="1:17" x14ac:dyDescent="0.35">
      <c r="A54" s="9">
        <v>44384</v>
      </c>
      <c r="B54" s="4" t="s">
        <v>43</v>
      </c>
      <c r="C54" s="6">
        <v>15.45</v>
      </c>
      <c r="D54" s="10">
        <v>0.78423100000003387</v>
      </c>
      <c r="E54" s="6">
        <v>12.116368950000524</v>
      </c>
      <c r="F54" s="11">
        <v>494.9778622</v>
      </c>
      <c r="G54" s="6">
        <v>11.836</v>
      </c>
      <c r="H54" s="6">
        <v>-2.8342108340001229</v>
      </c>
      <c r="I54" s="4">
        <v>1</v>
      </c>
      <c r="J54" s="9">
        <v>44551.441666666666</v>
      </c>
      <c r="K54" s="4">
        <v>9073.0593683590014</v>
      </c>
      <c r="L54" s="4">
        <v>5853.0547506815983</v>
      </c>
      <c r="M54" s="4" t="s">
        <v>9</v>
      </c>
      <c r="N54" s="6">
        <v>3.45</v>
      </c>
      <c r="O54" s="5">
        <v>0</v>
      </c>
      <c r="P54" s="6">
        <v>-3223.47</v>
      </c>
      <c r="Q54" s="5">
        <v>0</v>
      </c>
    </row>
    <row r="55" spans="1:17" x14ac:dyDescent="0.35">
      <c r="A55" s="9">
        <v>44385</v>
      </c>
      <c r="B55" s="4" t="s">
        <v>43</v>
      </c>
      <c r="C55" s="6">
        <v>14.26</v>
      </c>
      <c r="D55" s="10">
        <v>0.78064019999999346</v>
      </c>
      <c r="E55" s="6">
        <v>11.131929251999907</v>
      </c>
      <c r="F55" s="11">
        <v>494.9778622</v>
      </c>
      <c r="G55" s="6">
        <v>11.836</v>
      </c>
      <c r="H55" s="6">
        <v>-1.8922718447999838</v>
      </c>
      <c r="I55" s="4">
        <v>1</v>
      </c>
      <c r="J55" s="9">
        <v>44551.441666666666</v>
      </c>
      <c r="K55" s="4">
        <v>9073.0593683590014</v>
      </c>
      <c r="L55" s="4">
        <v>5853.0547506815983</v>
      </c>
      <c r="M55" s="4" t="s">
        <v>9</v>
      </c>
      <c r="N55" s="6">
        <v>3.45</v>
      </c>
      <c r="O55" s="5">
        <v>0</v>
      </c>
      <c r="P55" s="6">
        <v>-3223.47</v>
      </c>
      <c r="Q55" s="5">
        <v>0</v>
      </c>
    </row>
    <row r="56" spans="1:17" x14ac:dyDescent="0.35">
      <c r="A56" s="9">
        <v>44386</v>
      </c>
      <c r="B56" s="4" t="s">
        <v>43</v>
      </c>
      <c r="C56" s="6">
        <v>15.03</v>
      </c>
      <c r="D56" s="10">
        <v>0.9682765999999674</v>
      </c>
      <c r="E56" s="6">
        <v>14.55319729799951</v>
      </c>
      <c r="F56" s="11">
        <v>494.9778622</v>
      </c>
      <c r="G56" s="6">
        <v>11.836</v>
      </c>
      <c r="H56" s="6">
        <v>-3.0926754603998958</v>
      </c>
      <c r="I56" s="4">
        <v>1</v>
      </c>
      <c r="J56" s="9">
        <v>44551.441666666666</v>
      </c>
      <c r="K56" s="4">
        <v>9073.0593683590014</v>
      </c>
      <c r="L56" s="4">
        <v>5853.0547506815983</v>
      </c>
      <c r="M56" s="4" t="s">
        <v>9</v>
      </c>
      <c r="N56" s="6">
        <v>3.45</v>
      </c>
      <c r="O56" s="5">
        <v>0</v>
      </c>
      <c r="P56" s="6">
        <v>-3223.47</v>
      </c>
      <c r="Q56" s="5">
        <v>0</v>
      </c>
    </row>
    <row r="57" spans="1:17" x14ac:dyDescent="0.35">
      <c r="A57" s="9">
        <v>44387</v>
      </c>
      <c r="B57" s="4" t="s">
        <v>43</v>
      </c>
      <c r="C57" s="6">
        <v>15.47</v>
      </c>
      <c r="D57" s="10">
        <v>0.71943120000003091</v>
      </c>
      <c r="E57" s="6">
        <v>11.129600664000478</v>
      </c>
      <c r="F57" s="11">
        <v>494.9778622</v>
      </c>
      <c r="G57" s="6">
        <v>11.836</v>
      </c>
      <c r="H57" s="6">
        <v>-2.6144129808001111</v>
      </c>
      <c r="I57" s="4">
        <v>1</v>
      </c>
      <c r="J57" s="9">
        <v>44551.441666666666</v>
      </c>
      <c r="K57" s="4">
        <v>9073.0593683590014</v>
      </c>
      <c r="L57" s="4">
        <v>5853.0547506815983</v>
      </c>
      <c r="M57" s="4" t="s">
        <v>9</v>
      </c>
      <c r="N57" s="6">
        <v>3.45</v>
      </c>
      <c r="O57" s="5">
        <v>0</v>
      </c>
      <c r="P57" s="6">
        <v>-3223.47</v>
      </c>
      <c r="Q57" s="5">
        <v>0</v>
      </c>
    </row>
    <row r="58" spans="1:17" x14ac:dyDescent="0.35">
      <c r="A58" s="9">
        <v>44388</v>
      </c>
      <c r="B58" s="4" t="s">
        <v>43</v>
      </c>
      <c r="C58" s="6">
        <v>15.69</v>
      </c>
      <c r="D58" s="10">
        <v>0.22595659999996087</v>
      </c>
      <c r="E58" s="6">
        <v>3.545259053999386</v>
      </c>
      <c r="F58" s="11">
        <v>494.9778622</v>
      </c>
      <c r="G58" s="6">
        <v>11.836</v>
      </c>
      <c r="H58" s="6">
        <v>-0.87083673639984926</v>
      </c>
      <c r="I58" s="4">
        <v>1</v>
      </c>
      <c r="J58" s="9">
        <v>44551.441666666666</v>
      </c>
      <c r="K58" s="4">
        <v>9073.0593683590014</v>
      </c>
      <c r="L58" s="4">
        <v>5853.0547506815983</v>
      </c>
      <c r="M58" s="4" t="s">
        <v>9</v>
      </c>
      <c r="N58" s="6">
        <v>3.45</v>
      </c>
      <c r="O58" s="5">
        <v>0</v>
      </c>
      <c r="P58" s="6">
        <v>-3223.47</v>
      </c>
      <c r="Q58" s="5">
        <v>0</v>
      </c>
    </row>
    <row r="59" spans="1:17" x14ac:dyDescent="0.35">
      <c r="A59" s="9">
        <v>44389</v>
      </c>
      <c r="B59" s="4" t="s">
        <v>43</v>
      </c>
      <c r="C59" s="6">
        <v>15.66</v>
      </c>
      <c r="D59" s="10">
        <v>0.90956149999999525</v>
      </c>
      <c r="E59" s="6">
        <v>14.243733089999926</v>
      </c>
      <c r="F59" s="11">
        <v>494.9778622</v>
      </c>
      <c r="G59" s="6">
        <v>11.836</v>
      </c>
      <c r="H59" s="6">
        <v>-3.4781631759999829</v>
      </c>
      <c r="I59" s="4">
        <v>1</v>
      </c>
      <c r="J59" s="9">
        <v>44551.441666666666</v>
      </c>
      <c r="K59" s="4">
        <v>9073.0593683590014</v>
      </c>
      <c r="L59" s="4">
        <v>5853.0547506815983</v>
      </c>
      <c r="M59" s="4" t="s">
        <v>9</v>
      </c>
      <c r="N59" s="6">
        <v>3.45</v>
      </c>
      <c r="O59" s="5">
        <v>0</v>
      </c>
      <c r="P59" s="6">
        <v>-3223.47</v>
      </c>
      <c r="Q59" s="5">
        <v>0</v>
      </c>
    </row>
    <row r="60" spans="1:17" x14ac:dyDescent="0.35">
      <c r="A60" s="9">
        <v>44390</v>
      </c>
      <c r="B60" s="4" t="s">
        <v>43</v>
      </c>
      <c r="C60" s="6">
        <v>14.33</v>
      </c>
      <c r="D60" s="10">
        <v>1.4047290000000316</v>
      </c>
      <c r="E60" s="6">
        <v>20.129766570000452</v>
      </c>
      <c r="F60" s="11">
        <v>494.9778622</v>
      </c>
      <c r="G60" s="6">
        <v>11.836</v>
      </c>
      <c r="H60" s="6">
        <v>-3.503394126000078</v>
      </c>
      <c r="I60" s="4">
        <v>1</v>
      </c>
      <c r="J60" s="9">
        <v>44551.441666666666</v>
      </c>
      <c r="K60" s="4">
        <v>9073.0593683590014</v>
      </c>
      <c r="L60" s="4">
        <v>5853.0547506815983</v>
      </c>
      <c r="M60" s="4" t="s">
        <v>9</v>
      </c>
      <c r="N60" s="6">
        <v>3.45</v>
      </c>
      <c r="O60" s="5">
        <v>0</v>
      </c>
      <c r="P60" s="6">
        <v>-3223.47</v>
      </c>
      <c r="Q60" s="5">
        <v>0</v>
      </c>
    </row>
    <row r="61" spans="1:17" x14ac:dyDescent="0.35">
      <c r="A61" s="9">
        <v>44391</v>
      </c>
      <c r="B61" s="4" t="s">
        <v>43</v>
      </c>
      <c r="C61" s="6">
        <v>14.72</v>
      </c>
      <c r="D61" s="10">
        <v>1.1559535000000096</v>
      </c>
      <c r="E61" s="6">
        <v>17.015635520000142</v>
      </c>
      <c r="F61" s="11">
        <v>494.9778622</v>
      </c>
      <c r="G61" s="6">
        <v>11.836</v>
      </c>
      <c r="H61" s="6">
        <v>-3.333769894000028</v>
      </c>
      <c r="I61" s="4">
        <v>1</v>
      </c>
      <c r="J61" s="9">
        <v>44551.441666666666</v>
      </c>
      <c r="K61" s="4">
        <v>9073.0593683590014</v>
      </c>
      <c r="L61" s="4">
        <v>5853.0547506815983</v>
      </c>
      <c r="M61" s="4" t="s">
        <v>9</v>
      </c>
      <c r="N61" s="6">
        <v>3.45</v>
      </c>
      <c r="O61" s="5">
        <v>0</v>
      </c>
      <c r="P61" s="6">
        <v>-3223.47</v>
      </c>
      <c r="Q61" s="5">
        <v>0</v>
      </c>
    </row>
    <row r="62" spans="1:17" x14ac:dyDescent="0.35">
      <c r="A62" s="9">
        <v>44392</v>
      </c>
      <c r="B62" s="4" t="s">
        <v>43</v>
      </c>
      <c r="C62" s="6">
        <v>13.24</v>
      </c>
      <c r="D62" s="10">
        <v>0.46795900000000756</v>
      </c>
      <c r="E62" s="6">
        <v>6.1957771600000999</v>
      </c>
      <c r="F62" s="11">
        <v>494.9778622</v>
      </c>
      <c r="G62" s="6">
        <v>11.836</v>
      </c>
      <c r="H62" s="6">
        <v>-0.65701443600001053</v>
      </c>
      <c r="I62" s="4">
        <v>1</v>
      </c>
      <c r="J62" s="9">
        <v>44551.441666666666</v>
      </c>
      <c r="K62" s="4">
        <v>9073.0593683590014</v>
      </c>
      <c r="L62" s="4">
        <v>5853.0547506815983</v>
      </c>
      <c r="M62" s="4" t="s">
        <v>9</v>
      </c>
      <c r="N62" s="6">
        <v>3.45</v>
      </c>
      <c r="O62" s="5">
        <v>0</v>
      </c>
      <c r="P62" s="6">
        <v>-3223.47</v>
      </c>
      <c r="Q62" s="5">
        <v>0</v>
      </c>
    </row>
    <row r="63" spans="1:17" x14ac:dyDescent="0.35">
      <c r="A63" s="9">
        <v>44393</v>
      </c>
      <c r="B63" s="4" t="s">
        <v>43</v>
      </c>
      <c r="C63" s="6">
        <v>13.86</v>
      </c>
      <c r="D63" s="10">
        <v>1.5111969999999815</v>
      </c>
      <c r="E63" s="6">
        <v>20.945190419999744</v>
      </c>
      <c r="F63" s="11">
        <v>494.9778622</v>
      </c>
      <c r="G63" s="6">
        <v>11.836</v>
      </c>
      <c r="H63" s="6">
        <v>-3.0586627279999625</v>
      </c>
      <c r="I63" s="4">
        <v>1</v>
      </c>
      <c r="J63" s="9">
        <v>44551.441666666666</v>
      </c>
      <c r="K63" s="4">
        <v>9073.0593683590014</v>
      </c>
      <c r="L63" s="4">
        <v>5853.0547506815983</v>
      </c>
      <c r="M63" s="4" t="s">
        <v>9</v>
      </c>
      <c r="N63" s="6">
        <v>3.45</v>
      </c>
      <c r="O63" s="5">
        <v>0</v>
      </c>
      <c r="P63" s="6">
        <v>-3223.47</v>
      </c>
      <c r="Q63" s="5">
        <v>0</v>
      </c>
    </row>
    <row r="64" spans="1:17" x14ac:dyDescent="0.35">
      <c r="A64" s="9">
        <v>44394</v>
      </c>
      <c r="B64" s="4" t="s">
        <v>43</v>
      </c>
      <c r="C64" s="6">
        <v>13.45</v>
      </c>
      <c r="D64" s="10">
        <v>0.13336590000000115</v>
      </c>
      <c r="E64" s="6">
        <v>1.7937713550000154</v>
      </c>
      <c r="F64" s="11">
        <v>494.9778622</v>
      </c>
      <c r="G64" s="6">
        <v>11.836</v>
      </c>
      <c r="H64" s="6">
        <v>-0.2152525626000017</v>
      </c>
      <c r="I64" s="4">
        <v>1</v>
      </c>
      <c r="J64" s="9">
        <v>44551.441666666666</v>
      </c>
      <c r="K64" s="4">
        <v>9073.0593683590014</v>
      </c>
      <c r="L64" s="4">
        <v>5853.0547506815983</v>
      </c>
      <c r="M64" s="4" t="s">
        <v>9</v>
      </c>
      <c r="N64" s="6">
        <v>3.45</v>
      </c>
      <c r="O64" s="5">
        <v>0</v>
      </c>
      <c r="P64" s="6">
        <v>-3223.47</v>
      </c>
      <c r="Q64" s="5">
        <v>0</v>
      </c>
    </row>
    <row r="65" spans="1:17" x14ac:dyDescent="0.35">
      <c r="A65" s="9">
        <v>44395</v>
      </c>
      <c r="B65" s="4" t="s">
        <v>43</v>
      </c>
      <c r="C65" s="6">
        <v>12.17</v>
      </c>
      <c r="D65" s="10">
        <v>0.65834510000001956</v>
      </c>
      <c r="E65" s="6">
        <v>8.0120598670002376</v>
      </c>
      <c r="F65" s="11">
        <v>494.9778622</v>
      </c>
      <c r="G65" s="6">
        <v>11.836</v>
      </c>
      <c r="H65" s="6">
        <v>-0.21988726340000575</v>
      </c>
      <c r="I65" s="4">
        <v>1</v>
      </c>
      <c r="J65" s="9">
        <v>44551.441666666666</v>
      </c>
      <c r="K65" s="4">
        <v>9073.0593683590014</v>
      </c>
      <c r="L65" s="4">
        <v>5853.0547506815983</v>
      </c>
      <c r="M65" s="4" t="s">
        <v>9</v>
      </c>
      <c r="N65" s="6">
        <v>3.45</v>
      </c>
      <c r="O65" s="5">
        <v>0</v>
      </c>
      <c r="P65" s="6">
        <v>-3223.47</v>
      </c>
      <c r="Q65" s="5">
        <v>0</v>
      </c>
    </row>
    <row r="66" spans="1:17" x14ac:dyDescent="0.35">
      <c r="A66" s="9">
        <v>44396</v>
      </c>
      <c r="B66" s="4" t="s">
        <v>43</v>
      </c>
      <c r="C66" s="6">
        <v>12.52</v>
      </c>
      <c r="D66" s="10">
        <v>0.8229778999999553</v>
      </c>
      <c r="E66" s="6">
        <v>10.303683307999441</v>
      </c>
      <c r="F66" s="11">
        <v>494.9778622</v>
      </c>
      <c r="G66" s="6">
        <v>11.836</v>
      </c>
      <c r="H66" s="6">
        <v>-0.56291688359996961</v>
      </c>
      <c r="I66" s="4">
        <v>1</v>
      </c>
      <c r="J66" s="9">
        <v>44551.441666666666</v>
      </c>
      <c r="K66" s="4">
        <v>9073.0593683590014</v>
      </c>
      <c r="L66" s="4">
        <v>5853.0547506815983</v>
      </c>
      <c r="M66" s="4" t="s">
        <v>9</v>
      </c>
      <c r="N66" s="6">
        <v>3.45</v>
      </c>
      <c r="O66" s="5">
        <v>0</v>
      </c>
      <c r="P66" s="6">
        <v>-3223.47</v>
      </c>
      <c r="Q66" s="5">
        <v>0</v>
      </c>
    </row>
    <row r="67" spans="1:17" x14ac:dyDescent="0.35">
      <c r="A67" s="9">
        <v>44397</v>
      </c>
      <c r="B67" s="4" t="s">
        <v>43</v>
      </c>
      <c r="C67" s="6">
        <v>12.35</v>
      </c>
      <c r="D67" s="10">
        <v>1.2107838000000015</v>
      </c>
      <c r="E67" s="6">
        <v>14.953179930000019</v>
      </c>
      <c r="F67" s="11">
        <v>494.9778622</v>
      </c>
      <c r="G67" s="6">
        <v>11.836</v>
      </c>
      <c r="H67" s="6">
        <v>-0.62234287320000092</v>
      </c>
      <c r="I67" s="4">
        <v>1</v>
      </c>
      <c r="J67" s="9">
        <v>44551.441666666666</v>
      </c>
      <c r="K67" s="4">
        <v>9073.0593683590014</v>
      </c>
      <c r="L67" s="4">
        <v>5853.0547506815983</v>
      </c>
      <c r="M67" s="4" t="s">
        <v>9</v>
      </c>
      <c r="N67" s="6">
        <v>3.45</v>
      </c>
      <c r="O67" s="5">
        <v>0</v>
      </c>
      <c r="P67" s="6">
        <v>-3223.47</v>
      </c>
      <c r="Q67" s="5">
        <v>0</v>
      </c>
    </row>
    <row r="68" spans="1:17" x14ac:dyDescent="0.35">
      <c r="A68" s="9">
        <v>44398</v>
      </c>
      <c r="B68" s="4" t="s">
        <v>43</v>
      </c>
      <c r="C68" s="6">
        <v>13.71</v>
      </c>
      <c r="D68" s="10">
        <v>0.36150230000004058</v>
      </c>
      <c r="E68" s="6">
        <v>4.956196533000556</v>
      </c>
      <c r="F68" s="11">
        <v>494.9778622</v>
      </c>
      <c r="G68" s="6">
        <v>11.836</v>
      </c>
      <c r="H68" s="6">
        <v>-0.67745531020007554</v>
      </c>
      <c r="I68" s="4">
        <v>1</v>
      </c>
      <c r="J68" s="9">
        <v>44551.441666666666</v>
      </c>
      <c r="K68" s="4">
        <v>9073.0593683590014</v>
      </c>
      <c r="L68" s="4">
        <v>5853.0547506815983</v>
      </c>
      <c r="M68" s="4" t="s">
        <v>9</v>
      </c>
      <c r="N68" s="6">
        <v>3.45</v>
      </c>
      <c r="O68" s="5">
        <v>0</v>
      </c>
      <c r="P68" s="6">
        <v>-3223.47</v>
      </c>
      <c r="Q68" s="5">
        <v>0</v>
      </c>
    </row>
    <row r="69" spans="1:17" x14ac:dyDescent="0.35">
      <c r="A69" s="9">
        <v>44399</v>
      </c>
      <c r="B69" s="4" t="s">
        <v>43</v>
      </c>
      <c r="C69" s="6">
        <v>13.1</v>
      </c>
      <c r="D69" s="10">
        <v>0.14679339999997865</v>
      </c>
      <c r="E69" s="6">
        <v>1.9229935399997202</v>
      </c>
      <c r="F69" s="11">
        <v>494.9778622</v>
      </c>
      <c r="G69" s="6">
        <v>11.836</v>
      </c>
      <c r="H69" s="6">
        <v>-0.18554685759997303</v>
      </c>
      <c r="I69" s="4">
        <v>1</v>
      </c>
      <c r="J69" s="9">
        <v>44551.441666666666</v>
      </c>
      <c r="K69" s="4">
        <v>9073.0593683590014</v>
      </c>
      <c r="L69" s="4">
        <v>5853.0547506815983</v>
      </c>
      <c r="M69" s="4" t="s">
        <v>9</v>
      </c>
      <c r="N69" s="6">
        <v>3.45</v>
      </c>
      <c r="O69" s="5">
        <v>0</v>
      </c>
      <c r="P69" s="6">
        <v>-3223.47</v>
      </c>
      <c r="Q69" s="5">
        <v>0</v>
      </c>
    </row>
    <row r="70" spans="1:17" x14ac:dyDescent="0.35">
      <c r="A70" s="9">
        <v>44400</v>
      </c>
      <c r="B70" s="4" t="s">
        <v>43</v>
      </c>
      <c r="C70" s="6">
        <v>14.11</v>
      </c>
      <c r="D70" s="10">
        <v>0.52336289999999508</v>
      </c>
      <c r="E70" s="6">
        <v>7.3846505189999307</v>
      </c>
      <c r="F70" s="11">
        <v>494.9778622</v>
      </c>
      <c r="G70" s="6">
        <v>11.836</v>
      </c>
      <c r="H70" s="6">
        <v>-1.1901272345999887</v>
      </c>
      <c r="I70" s="4">
        <v>1</v>
      </c>
      <c r="J70" s="9">
        <v>44551.441666666666</v>
      </c>
      <c r="K70" s="4">
        <v>9073.0593683590014</v>
      </c>
      <c r="L70" s="4">
        <v>5853.0547506815983</v>
      </c>
      <c r="M70" s="4" t="s">
        <v>9</v>
      </c>
      <c r="N70" s="6">
        <v>3.45</v>
      </c>
      <c r="O70" s="5">
        <v>0</v>
      </c>
      <c r="P70" s="6">
        <v>-3223.47</v>
      </c>
      <c r="Q70" s="5">
        <v>0</v>
      </c>
    </row>
    <row r="71" spans="1:17" x14ac:dyDescent="0.35">
      <c r="A71" s="9">
        <v>44401</v>
      </c>
      <c r="B71" s="4" t="s">
        <v>43</v>
      </c>
      <c r="C71" s="6">
        <v>14.29</v>
      </c>
      <c r="D71" s="10">
        <v>0.56473629999999275</v>
      </c>
      <c r="E71" s="6">
        <v>8.0700817269998968</v>
      </c>
      <c r="F71" s="11">
        <v>494.9778622</v>
      </c>
      <c r="G71" s="6">
        <v>11.836</v>
      </c>
      <c r="H71" s="6">
        <v>-1.3858628801999826</v>
      </c>
      <c r="I71" s="4">
        <v>1</v>
      </c>
      <c r="J71" s="9">
        <v>44551.441666666666</v>
      </c>
      <c r="K71" s="4">
        <v>9073.0593683590014</v>
      </c>
      <c r="L71" s="4">
        <v>5853.0547506815983</v>
      </c>
      <c r="M71" s="4" t="s">
        <v>9</v>
      </c>
      <c r="N71" s="6">
        <v>3.45</v>
      </c>
      <c r="O71" s="5">
        <v>0</v>
      </c>
      <c r="P71" s="6">
        <v>-3223.47</v>
      </c>
      <c r="Q71" s="5">
        <v>0</v>
      </c>
    </row>
    <row r="72" spans="1:17" x14ac:dyDescent="0.35">
      <c r="A72" s="9">
        <v>44402</v>
      </c>
      <c r="B72" s="4" t="s">
        <v>43</v>
      </c>
      <c r="C72" s="6">
        <v>14.17</v>
      </c>
      <c r="D72" s="10">
        <v>0.93061090000003333</v>
      </c>
      <c r="E72" s="6">
        <v>13.186756453000472</v>
      </c>
      <c r="F72" s="11">
        <v>494.9778622</v>
      </c>
      <c r="G72" s="6">
        <v>11.836</v>
      </c>
      <c r="H72" s="6">
        <v>-2.1720458406000773</v>
      </c>
      <c r="I72" s="4">
        <v>1</v>
      </c>
      <c r="J72" s="9">
        <v>44551.441666666666</v>
      </c>
      <c r="K72" s="4">
        <v>9073.0593683590014</v>
      </c>
      <c r="L72" s="4">
        <v>5853.0547506815983</v>
      </c>
      <c r="M72" s="4" t="s">
        <v>9</v>
      </c>
      <c r="N72" s="6">
        <v>3.45</v>
      </c>
      <c r="O72" s="5">
        <v>0</v>
      </c>
      <c r="P72" s="6">
        <v>-3223.47</v>
      </c>
      <c r="Q72" s="5">
        <v>0</v>
      </c>
    </row>
    <row r="73" spans="1:17" x14ac:dyDescent="0.35">
      <c r="A73" s="9">
        <v>44403</v>
      </c>
      <c r="B73" s="4" t="s">
        <v>43</v>
      </c>
      <c r="C73" s="6">
        <v>15.62</v>
      </c>
      <c r="D73" s="10">
        <v>7.7817199999969944E-2</v>
      </c>
      <c r="E73" s="6">
        <v>1.2155046639995306</v>
      </c>
      <c r="F73" s="11">
        <v>494.9778622</v>
      </c>
      <c r="G73" s="6">
        <v>11.836</v>
      </c>
      <c r="H73" s="6">
        <v>-0.29446028479988628</v>
      </c>
      <c r="I73" s="4">
        <v>1</v>
      </c>
      <c r="J73" s="9">
        <v>44551.441666666666</v>
      </c>
      <c r="K73" s="4">
        <v>9073.0593683590014</v>
      </c>
      <c r="L73" s="4">
        <v>5853.0547506815983</v>
      </c>
      <c r="M73" s="4" t="s">
        <v>9</v>
      </c>
      <c r="N73" s="6">
        <v>3.45</v>
      </c>
      <c r="O73" s="5">
        <v>0</v>
      </c>
      <c r="P73" s="6">
        <v>-3223.47</v>
      </c>
      <c r="Q73" s="5">
        <v>0</v>
      </c>
    </row>
    <row r="74" spans="1:17" x14ac:dyDescent="0.35">
      <c r="A74" s="9">
        <v>44404</v>
      </c>
      <c r="B74" s="4" t="s">
        <v>43</v>
      </c>
      <c r="C74" s="6">
        <v>15.18</v>
      </c>
      <c r="D74" s="10">
        <v>1.3382263000000307</v>
      </c>
      <c r="E74" s="6">
        <v>20.314275234000466</v>
      </c>
      <c r="F74" s="11">
        <v>494.9778622</v>
      </c>
      <c r="G74" s="6">
        <v>11.836</v>
      </c>
      <c r="H74" s="6">
        <v>-4.4750287472001009</v>
      </c>
      <c r="I74" s="4">
        <v>1</v>
      </c>
      <c r="J74" s="9">
        <v>44551.441666666666</v>
      </c>
      <c r="K74" s="4">
        <v>9073.0593683590014</v>
      </c>
      <c r="L74" s="4">
        <v>5853.0547506815983</v>
      </c>
      <c r="M74" s="4" t="s">
        <v>9</v>
      </c>
      <c r="N74" s="6">
        <v>3.45</v>
      </c>
      <c r="O74" s="5">
        <v>0</v>
      </c>
      <c r="P74" s="6">
        <v>-3223.47</v>
      </c>
      <c r="Q74" s="5">
        <v>0</v>
      </c>
    </row>
    <row r="75" spans="1:17" x14ac:dyDescent="0.35">
      <c r="A75" s="9">
        <v>44405</v>
      </c>
      <c r="B75" s="4" t="s">
        <v>43</v>
      </c>
      <c r="C75" s="6">
        <v>15.32</v>
      </c>
      <c r="D75" s="10">
        <v>1.2744746999999848</v>
      </c>
      <c r="E75" s="6">
        <v>19.524952403999766</v>
      </c>
      <c r="F75" s="11">
        <v>494.9778622</v>
      </c>
      <c r="G75" s="6">
        <v>11.836</v>
      </c>
      <c r="H75" s="6">
        <v>-4.4402698547999453</v>
      </c>
      <c r="I75" s="4">
        <v>1</v>
      </c>
      <c r="J75" s="9">
        <v>44551.441666666666</v>
      </c>
      <c r="K75" s="4">
        <v>9073.0593683590014</v>
      </c>
      <c r="L75" s="4">
        <v>5853.0547506815983</v>
      </c>
      <c r="M75" s="4" t="s">
        <v>9</v>
      </c>
      <c r="N75" s="6">
        <v>3.45</v>
      </c>
      <c r="O75" s="5">
        <v>0</v>
      </c>
      <c r="P75" s="6">
        <v>-3223.47</v>
      </c>
      <c r="Q75" s="5">
        <v>0</v>
      </c>
    </row>
    <row r="76" spans="1:17" x14ac:dyDescent="0.35">
      <c r="A76" s="9">
        <v>44406</v>
      </c>
      <c r="B76" s="4" t="s">
        <v>43</v>
      </c>
      <c r="C76" s="6">
        <v>15.64</v>
      </c>
      <c r="D76" s="10">
        <v>0.67056609999997363</v>
      </c>
      <c r="E76" s="6">
        <v>10.487653803999587</v>
      </c>
      <c r="F76" s="11">
        <v>494.9778622</v>
      </c>
      <c r="G76" s="6">
        <v>11.836</v>
      </c>
      <c r="H76" s="6">
        <v>-2.550833444399899</v>
      </c>
      <c r="I76" s="4">
        <v>1</v>
      </c>
      <c r="J76" s="9">
        <v>44551.441666666666</v>
      </c>
      <c r="K76" s="4">
        <v>9073.0593683590014</v>
      </c>
      <c r="L76" s="4">
        <v>5853.0547506815983</v>
      </c>
      <c r="M76" s="4" t="s">
        <v>9</v>
      </c>
      <c r="N76" s="6">
        <v>3.45</v>
      </c>
      <c r="O76" s="5">
        <v>0</v>
      </c>
      <c r="P76" s="6">
        <v>-3223.47</v>
      </c>
      <c r="Q76" s="5">
        <v>0</v>
      </c>
    </row>
    <row r="77" spans="1:17" x14ac:dyDescent="0.35">
      <c r="A77" s="9">
        <v>44407</v>
      </c>
      <c r="B77" s="4" t="s">
        <v>43</v>
      </c>
      <c r="C77" s="6">
        <v>16.95</v>
      </c>
      <c r="D77" s="10">
        <v>0.54421010000004344</v>
      </c>
      <c r="E77" s="6">
        <v>9.2243611950007356</v>
      </c>
      <c r="F77" s="11">
        <v>494.9778622</v>
      </c>
      <c r="G77" s="6">
        <v>11.836</v>
      </c>
      <c r="H77" s="6">
        <v>-2.7830904514002217</v>
      </c>
      <c r="I77" s="4">
        <v>1</v>
      </c>
      <c r="J77" s="9">
        <v>44551.441666666666</v>
      </c>
      <c r="K77" s="4">
        <v>9073.0593683590014</v>
      </c>
      <c r="L77" s="4">
        <v>5853.0547506815983</v>
      </c>
      <c r="M77" s="4" t="s">
        <v>9</v>
      </c>
      <c r="N77" s="6">
        <v>3.45</v>
      </c>
      <c r="O77" s="5">
        <v>0</v>
      </c>
      <c r="P77" s="6">
        <v>-3223.47</v>
      </c>
      <c r="Q77" s="5">
        <v>0</v>
      </c>
    </row>
    <row r="78" spans="1:17" x14ac:dyDescent="0.35">
      <c r="A78" s="9">
        <v>44408</v>
      </c>
      <c r="B78" s="4" t="s">
        <v>43</v>
      </c>
      <c r="C78" s="6">
        <v>16.75</v>
      </c>
      <c r="D78" s="10">
        <v>1.2E-2</v>
      </c>
      <c r="E78" s="6">
        <v>0.20100000000000001</v>
      </c>
      <c r="F78" s="11">
        <v>494.9778622</v>
      </c>
      <c r="G78" s="6">
        <v>11.836</v>
      </c>
      <c r="H78" s="6">
        <v>-5.8967999999999993E-2</v>
      </c>
      <c r="I78" s="4">
        <v>1</v>
      </c>
      <c r="J78" s="9">
        <v>44551.441666666666</v>
      </c>
      <c r="K78" s="4">
        <v>9073.0593683590014</v>
      </c>
      <c r="L78" s="4">
        <v>5853.0547506815983</v>
      </c>
      <c r="M78" s="4" t="s">
        <v>9</v>
      </c>
      <c r="N78" s="6">
        <v>3.45</v>
      </c>
      <c r="O78" s="5">
        <v>0</v>
      </c>
      <c r="P78" s="6">
        <v>-3223.47</v>
      </c>
      <c r="Q78" s="5">
        <v>0</v>
      </c>
    </row>
    <row r="79" spans="1:17" x14ac:dyDescent="0.35">
      <c r="A79" s="9">
        <v>44409</v>
      </c>
      <c r="B79" s="4" t="s">
        <v>43</v>
      </c>
      <c r="C79" s="6">
        <v>16.79</v>
      </c>
      <c r="D79" s="10">
        <v>0.32518570000002001</v>
      </c>
      <c r="E79" s="6">
        <v>5.4598679030003359</v>
      </c>
      <c r="F79" s="11">
        <v>494.9778622</v>
      </c>
      <c r="G79" s="6">
        <v>11.836</v>
      </c>
      <c r="H79" s="6">
        <v>-1.6109699578000991</v>
      </c>
      <c r="I79" s="4">
        <v>1</v>
      </c>
      <c r="J79" s="9">
        <v>44551.441666666666</v>
      </c>
      <c r="K79" s="4">
        <v>9073.0593683590014</v>
      </c>
      <c r="L79" s="4">
        <v>5853.0547506815983</v>
      </c>
      <c r="M79" s="4" t="s">
        <v>9</v>
      </c>
      <c r="N79" s="6">
        <v>3.45</v>
      </c>
      <c r="O79" s="5">
        <v>0</v>
      </c>
      <c r="P79" s="6">
        <v>-3223.47</v>
      </c>
      <c r="Q79" s="5">
        <v>0</v>
      </c>
    </row>
    <row r="80" spans="1:17" x14ac:dyDescent="0.35">
      <c r="A80" s="9">
        <v>44410</v>
      </c>
      <c r="B80" s="4" t="s">
        <v>43</v>
      </c>
      <c r="C80" s="6">
        <v>16.41</v>
      </c>
      <c r="D80" s="10">
        <v>0.69543260000000373</v>
      </c>
      <c r="E80" s="6">
        <v>11.412048966000061</v>
      </c>
      <c r="F80" s="11">
        <v>494.9778622</v>
      </c>
      <c r="G80" s="6">
        <v>11.836</v>
      </c>
      <c r="H80" s="6">
        <v>-3.1809087124000168</v>
      </c>
      <c r="I80" s="4">
        <v>1</v>
      </c>
      <c r="J80" s="9">
        <v>44551.441666666666</v>
      </c>
      <c r="K80" s="4">
        <v>9073.0593683590014</v>
      </c>
      <c r="L80" s="4">
        <v>5853.0547506815983</v>
      </c>
      <c r="M80" s="4" t="s">
        <v>9</v>
      </c>
      <c r="N80" s="6">
        <v>3.45</v>
      </c>
      <c r="O80" s="5">
        <v>0</v>
      </c>
      <c r="P80" s="6">
        <v>-3223.47</v>
      </c>
      <c r="Q80" s="5">
        <v>0</v>
      </c>
    </row>
    <row r="81" spans="1:17" x14ac:dyDescent="0.35">
      <c r="A81" s="9">
        <v>44411</v>
      </c>
      <c r="B81" s="4" t="s">
        <v>43</v>
      </c>
      <c r="C81" s="6">
        <v>17.25</v>
      </c>
      <c r="D81" s="10">
        <v>0.51176370000001725</v>
      </c>
      <c r="E81" s="6">
        <v>8.8279238250002976</v>
      </c>
      <c r="F81" s="11">
        <v>494.9778622</v>
      </c>
      <c r="G81" s="6">
        <v>11.836</v>
      </c>
      <c r="H81" s="6">
        <v>-2.7706886718000936</v>
      </c>
      <c r="I81" s="4">
        <v>1</v>
      </c>
      <c r="J81" s="9">
        <v>44551.441666666666</v>
      </c>
      <c r="K81" s="4">
        <v>9073.0593683590014</v>
      </c>
      <c r="L81" s="4">
        <v>5853.0547506815983</v>
      </c>
      <c r="M81" s="4" t="s">
        <v>9</v>
      </c>
      <c r="N81" s="6">
        <v>3.45</v>
      </c>
      <c r="O81" s="5">
        <v>0</v>
      </c>
      <c r="P81" s="6">
        <v>-3223.47</v>
      </c>
      <c r="Q81" s="5">
        <v>0</v>
      </c>
    </row>
    <row r="82" spans="1:17" x14ac:dyDescent="0.35">
      <c r="A82" s="9">
        <v>44412</v>
      </c>
      <c r="B82" s="4" t="s">
        <v>43</v>
      </c>
      <c r="C82" s="6">
        <v>18.82</v>
      </c>
      <c r="D82" s="10">
        <v>0.51382259999996904</v>
      </c>
      <c r="E82" s="6">
        <v>9.6701413319994174</v>
      </c>
      <c r="F82" s="11">
        <v>494.9778622</v>
      </c>
      <c r="G82" s="6">
        <v>11.836</v>
      </c>
      <c r="H82" s="6">
        <v>-3.5885370383997834</v>
      </c>
      <c r="I82" s="4">
        <v>1</v>
      </c>
      <c r="J82" s="9">
        <v>44551.441666666666</v>
      </c>
      <c r="K82" s="4">
        <v>9073.0593683590014</v>
      </c>
      <c r="L82" s="4">
        <v>5853.0547506815983</v>
      </c>
      <c r="M82" s="4" t="s">
        <v>9</v>
      </c>
      <c r="N82" s="6">
        <v>3.45</v>
      </c>
      <c r="O82" s="5">
        <v>0</v>
      </c>
      <c r="P82" s="6">
        <v>-3223.47</v>
      </c>
      <c r="Q82" s="5">
        <v>0</v>
      </c>
    </row>
    <row r="83" spans="1:17" x14ac:dyDescent="0.35">
      <c r="A83" s="9">
        <v>44413</v>
      </c>
      <c r="B83" s="4" t="s">
        <v>43</v>
      </c>
      <c r="C83" s="6">
        <v>18.45</v>
      </c>
      <c r="D83" s="10">
        <v>0.67671690000003082</v>
      </c>
      <c r="E83" s="6">
        <v>12.485426805000568</v>
      </c>
      <c r="F83" s="11">
        <v>494.9778622</v>
      </c>
      <c r="G83" s="6">
        <v>11.836</v>
      </c>
      <c r="H83" s="6">
        <v>-4.4758055766002034</v>
      </c>
      <c r="I83" s="4">
        <v>1</v>
      </c>
      <c r="J83" s="9">
        <v>44551.441666666666</v>
      </c>
      <c r="K83" s="4">
        <v>9073.0593683590014</v>
      </c>
      <c r="L83" s="4">
        <v>5853.0547506815983</v>
      </c>
      <c r="M83" s="4" t="s">
        <v>9</v>
      </c>
      <c r="N83" s="6">
        <v>3.45</v>
      </c>
      <c r="O83" s="5">
        <v>0</v>
      </c>
      <c r="P83" s="6">
        <v>-3223.47</v>
      </c>
      <c r="Q83" s="5">
        <v>0</v>
      </c>
    </row>
    <row r="84" spans="1:17" x14ac:dyDescent="0.35">
      <c r="A84" s="9">
        <v>44414</v>
      </c>
      <c r="B84" s="4" t="s">
        <v>43</v>
      </c>
      <c r="C84" s="6">
        <v>18.690000000000001</v>
      </c>
      <c r="D84" s="10">
        <v>1.1365566999999714</v>
      </c>
      <c r="E84" s="6">
        <v>21.242244722999466</v>
      </c>
      <c r="F84" s="11">
        <v>494.9778622</v>
      </c>
      <c r="G84" s="6">
        <v>11.836</v>
      </c>
      <c r="H84" s="6">
        <v>-7.7899596217998042</v>
      </c>
      <c r="I84" s="4">
        <v>1</v>
      </c>
      <c r="J84" s="9">
        <v>44551.441666666666</v>
      </c>
      <c r="K84" s="4">
        <v>9073.0593683590014</v>
      </c>
      <c r="L84" s="4">
        <v>5853.0547506815983</v>
      </c>
      <c r="M84" s="4" t="s">
        <v>9</v>
      </c>
      <c r="N84" s="6">
        <v>3.45</v>
      </c>
      <c r="O84" s="5">
        <v>0</v>
      </c>
      <c r="P84" s="6">
        <v>-3223.47</v>
      </c>
      <c r="Q84" s="5">
        <v>0</v>
      </c>
    </row>
    <row r="85" spans="1:17" x14ac:dyDescent="0.35">
      <c r="A85" s="9">
        <v>44415</v>
      </c>
      <c r="B85" s="4" t="s">
        <v>43</v>
      </c>
      <c r="C85" s="6">
        <v>18.32</v>
      </c>
      <c r="D85" s="10">
        <v>0.27757630000002109</v>
      </c>
      <c r="E85" s="6">
        <v>5.0851978160003863</v>
      </c>
      <c r="F85" s="11">
        <v>494.9778622</v>
      </c>
      <c r="G85" s="6">
        <v>11.836</v>
      </c>
      <c r="H85" s="6">
        <v>-1.7998047292001367</v>
      </c>
      <c r="I85" s="4">
        <v>1</v>
      </c>
      <c r="J85" s="9">
        <v>44551.441666666666</v>
      </c>
      <c r="K85" s="4">
        <v>9073.0593683590014</v>
      </c>
      <c r="L85" s="4">
        <v>5853.0547506815983</v>
      </c>
      <c r="M85" s="4" t="s">
        <v>9</v>
      </c>
      <c r="N85" s="6">
        <v>3.45</v>
      </c>
      <c r="O85" s="5">
        <v>0</v>
      </c>
      <c r="P85" s="6">
        <v>-3223.47</v>
      </c>
      <c r="Q85" s="5">
        <v>0</v>
      </c>
    </row>
    <row r="86" spans="1:17" x14ac:dyDescent="0.35">
      <c r="A86" s="9">
        <v>44416</v>
      </c>
      <c r="B86" s="4" t="s">
        <v>43</v>
      </c>
      <c r="C86" s="6">
        <v>18.23</v>
      </c>
      <c r="D86" s="10">
        <v>2.0147000000179105E-3</v>
      </c>
      <c r="E86" s="6">
        <v>3.6727981000326509E-2</v>
      </c>
      <c r="F86" s="11">
        <v>494.9778622</v>
      </c>
      <c r="G86" s="6">
        <v>11.836</v>
      </c>
      <c r="H86" s="6">
        <v>-1.2881991800114519E-2</v>
      </c>
      <c r="I86" s="4">
        <v>1</v>
      </c>
      <c r="J86" s="9">
        <v>44551.441666666666</v>
      </c>
      <c r="K86" s="4">
        <v>9073.0593683590014</v>
      </c>
      <c r="L86" s="4">
        <v>5853.0547506815983</v>
      </c>
      <c r="M86" s="4" t="s">
        <v>9</v>
      </c>
      <c r="N86" s="6">
        <v>3.45</v>
      </c>
      <c r="O86" s="5">
        <v>0</v>
      </c>
      <c r="P86" s="6">
        <v>-3223.47</v>
      </c>
      <c r="Q86" s="5">
        <v>0</v>
      </c>
    </row>
    <row r="87" spans="1:17" x14ac:dyDescent="0.35">
      <c r="A87" s="9">
        <v>44417</v>
      </c>
      <c r="B87" s="4" t="s">
        <v>43</v>
      </c>
      <c r="C87" s="6">
        <v>19.170000000000002</v>
      </c>
      <c r="D87" s="10">
        <v>0.62161079999998492</v>
      </c>
      <c r="E87" s="6">
        <v>11.916279035999711</v>
      </c>
      <c r="F87" s="11">
        <v>494.9778622</v>
      </c>
      <c r="G87" s="6">
        <v>11.836</v>
      </c>
      <c r="H87" s="6">
        <v>-4.5588936071998898</v>
      </c>
      <c r="I87" s="4">
        <v>1</v>
      </c>
      <c r="J87" s="9">
        <v>44551.441666666666</v>
      </c>
      <c r="K87" s="4">
        <v>9073.0593683590014</v>
      </c>
      <c r="L87" s="4">
        <v>5853.0547506815983</v>
      </c>
      <c r="M87" s="4" t="s">
        <v>9</v>
      </c>
      <c r="N87" s="6">
        <v>3.45</v>
      </c>
      <c r="O87" s="5">
        <v>0</v>
      </c>
      <c r="P87" s="6">
        <v>-3223.47</v>
      </c>
      <c r="Q87" s="5">
        <v>0</v>
      </c>
    </row>
    <row r="88" spans="1:17" x14ac:dyDescent="0.35">
      <c r="A88" s="9">
        <v>44418</v>
      </c>
      <c r="B88" s="4" t="s">
        <v>43</v>
      </c>
      <c r="C88" s="6">
        <v>19.79</v>
      </c>
      <c r="D88" s="10">
        <v>1.1049585000000093</v>
      </c>
      <c r="E88" s="6">
        <v>21.867128715000185</v>
      </c>
      <c r="F88" s="11">
        <v>494.9778622</v>
      </c>
      <c r="G88" s="6">
        <v>11.836</v>
      </c>
      <c r="H88" s="6">
        <v>-8.7888399090000746</v>
      </c>
      <c r="I88" s="4">
        <v>1</v>
      </c>
      <c r="J88" s="9">
        <v>44551.441666666666</v>
      </c>
      <c r="K88" s="4">
        <v>9073.0593683590014</v>
      </c>
      <c r="L88" s="4">
        <v>5853.0547506815983</v>
      </c>
      <c r="M88" s="4" t="s">
        <v>9</v>
      </c>
      <c r="N88" s="6">
        <v>3.45</v>
      </c>
      <c r="O88" s="5">
        <v>0</v>
      </c>
      <c r="P88" s="6">
        <v>-3223.47</v>
      </c>
      <c r="Q88" s="5">
        <v>0</v>
      </c>
    </row>
    <row r="89" spans="1:17" x14ac:dyDescent="0.35">
      <c r="A89" s="9">
        <v>44419</v>
      </c>
      <c r="B89" s="4" t="s">
        <v>43</v>
      </c>
      <c r="C89" s="6">
        <v>20.98</v>
      </c>
      <c r="D89" s="10">
        <v>0.8916437999999971</v>
      </c>
      <c r="E89" s="6">
        <v>18.706686923999939</v>
      </c>
      <c r="F89" s="11">
        <v>494.9778622</v>
      </c>
      <c r="G89" s="6">
        <v>11.836</v>
      </c>
      <c r="H89" s="6">
        <v>-8.1531909071999724</v>
      </c>
      <c r="I89" s="4">
        <v>1</v>
      </c>
      <c r="J89" s="9">
        <v>44551.441666666666</v>
      </c>
      <c r="K89" s="4">
        <v>9073.0593683590014</v>
      </c>
      <c r="L89" s="4">
        <v>5853.0547506815983</v>
      </c>
      <c r="M89" s="4" t="s">
        <v>9</v>
      </c>
      <c r="N89" s="6">
        <v>3.45</v>
      </c>
      <c r="O89" s="5">
        <v>0</v>
      </c>
      <c r="P89" s="6">
        <v>-3223.47</v>
      </c>
      <c r="Q89" s="5">
        <v>0</v>
      </c>
    </row>
    <row r="90" spans="1:17" x14ac:dyDescent="0.35">
      <c r="A90" s="9">
        <v>44420</v>
      </c>
      <c r="B90" s="4" t="s">
        <v>43</v>
      </c>
      <c r="C90" s="6">
        <v>20.76</v>
      </c>
      <c r="D90" s="10">
        <v>0.29417630000000372</v>
      </c>
      <c r="E90" s="6">
        <v>6.1070999880000771</v>
      </c>
      <c r="F90" s="11">
        <v>494.9778622</v>
      </c>
      <c r="G90" s="6">
        <v>11.836</v>
      </c>
      <c r="H90" s="6">
        <v>-2.6252293012000329</v>
      </c>
      <c r="I90" s="4">
        <v>1</v>
      </c>
      <c r="J90" s="9">
        <v>44551.441666666666</v>
      </c>
      <c r="K90" s="4">
        <v>9073.0593683590014</v>
      </c>
      <c r="L90" s="4">
        <v>5853.0547506815983</v>
      </c>
      <c r="M90" s="4" t="s">
        <v>9</v>
      </c>
      <c r="N90" s="6">
        <v>3.45</v>
      </c>
      <c r="O90" s="5">
        <v>0</v>
      </c>
      <c r="P90" s="6">
        <v>-3223.47</v>
      </c>
      <c r="Q90" s="5">
        <v>0</v>
      </c>
    </row>
    <row r="91" spans="1:17" x14ac:dyDescent="0.35">
      <c r="A91" s="9">
        <v>44421</v>
      </c>
      <c r="B91" s="4" t="s">
        <v>43</v>
      </c>
      <c r="C91" s="6">
        <v>21.12</v>
      </c>
      <c r="D91" s="10">
        <v>0.8431034999999838</v>
      </c>
      <c r="E91" s="6">
        <v>17.806345919999657</v>
      </c>
      <c r="F91" s="11">
        <v>494.9778622</v>
      </c>
      <c r="G91" s="6">
        <v>11.836</v>
      </c>
      <c r="H91" s="6">
        <v>-7.8273728939998488</v>
      </c>
      <c r="I91" s="4">
        <v>1</v>
      </c>
      <c r="J91" s="9">
        <v>44551.441666666666</v>
      </c>
      <c r="K91" s="4">
        <v>9073.0593683590014</v>
      </c>
      <c r="L91" s="4">
        <v>5853.0547506815983</v>
      </c>
      <c r="M91" s="4" t="s">
        <v>9</v>
      </c>
      <c r="N91" s="6">
        <v>3.45</v>
      </c>
      <c r="O91" s="5">
        <v>0</v>
      </c>
      <c r="P91" s="6">
        <v>-3223.47</v>
      </c>
      <c r="Q91" s="5">
        <v>0</v>
      </c>
    </row>
    <row r="92" spans="1:17" x14ac:dyDescent="0.35">
      <c r="A92" s="9">
        <v>44422</v>
      </c>
      <c r="B92" s="4" t="s">
        <v>43</v>
      </c>
      <c r="C92" s="6">
        <v>21.69</v>
      </c>
      <c r="D92" s="10">
        <v>0.25737249999997402</v>
      </c>
      <c r="E92" s="6">
        <v>5.582409524999437</v>
      </c>
      <c r="F92" s="11">
        <v>494.9778622</v>
      </c>
      <c r="G92" s="6">
        <v>11.836</v>
      </c>
      <c r="H92" s="6">
        <v>-2.5361486149997443</v>
      </c>
      <c r="I92" s="4">
        <v>1</v>
      </c>
      <c r="J92" s="9">
        <v>44551.441666666666</v>
      </c>
      <c r="K92" s="4">
        <v>9073.0593683590014</v>
      </c>
      <c r="L92" s="4">
        <v>5853.0547506815983</v>
      </c>
      <c r="M92" s="4" t="s">
        <v>9</v>
      </c>
      <c r="N92" s="6">
        <v>3.45</v>
      </c>
      <c r="O92" s="5">
        <v>0</v>
      </c>
      <c r="P92" s="6">
        <v>-3223.47</v>
      </c>
      <c r="Q92" s="5">
        <v>0</v>
      </c>
    </row>
    <row r="93" spans="1:17" x14ac:dyDescent="0.35">
      <c r="A93" s="9">
        <v>44423</v>
      </c>
      <c r="B93" s="4" t="s">
        <v>43</v>
      </c>
      <c r="C93" s="6">
        <v>21.31</v>
      </c>
      <c r="D93" s="10">
        <v>0.15419860000002927</v>
      </c>
      <c r="E93" s="6">
        <v>3.285972166000624</v>
      </c>
      <c r="F93" s="11">
        <v>494.9778622</v>
      </c>
      <c r="G93" s="6">
        <v>11.836</v>
      </c>
      <c r="H93" s="6">
        <v>-1.4608775364002775</v>
      </c>
      <c r="I93" s="4">
        <v>1</v>
      </c>
      <c r="J93" s="9">
        <v>44551.441666666666</v>
      </c>
      <c r="K93" s="4">
        <v>9073.0593683590014</v>
      </c>
      <c r="L93" s="4">
        <v>5853.0547506815983</v>
      </c>
      <c r="M93" s="4" t="s">
        <v>9</v>
      </c>
      <c r="N93" s="6">
        <v>3.45</v>
      </c>
      <c r="O93" s="5">
        <v>0</v>
      </c>
      <c r="P93" s="6">
        <v>-3223.47</v>
      </c>
      <c r="Q93" s="5">
        <v>0</v>
      </c>
    </row>
    <row r="94" spans="1:17" x14ac:dyDescent="0.35">
      <c r="A94" s="9">
        <v>44424</v>
      </c>
      <c r="B94" s="4" t="s">
        <v>43</v>
      </c>
      <c r="C94" s="6">
        <v>21.08</v>
      </c>
      <c r="D94" s="10">
        <v>1.1375479000000155</v>
      </c>
      <c r="E94" s="6">
        <v>23.979509732000327</v>
      </c>
      <c r="F94" s="11">
        <v>494.9778622</v>
      </c>
      <c r="G94" s="6">
        <v>11.836</v>
      </c>
      <c r="H94" s="6">
        <v>-10.515492787600143</v>
      </c>
      <c r="I94" s="4">
        <v>1</v>
      </c>
      <c r="J94" s="9">
        <v>44551.441666666666</v>
      </c>
      <c r="K94" s="4">
        <v>9073.0593683590014</v>
      </c>
      <c r="L94" s="4">
        <v>5853.0547506815983</v>
      </c>
      <c r="M94" s="4" t="s">
        <v>9</v>
      </c>
      <c r="N94" s="6">
        <v>3.45</v>
      </c>
      <c r="O94" s="5">
        <v>0</v>
      </c>
      <c r="P94" s="6">
        <v>-3223.47</v>
      </c>
      <c r="Q94" s="5">
        <v>0</v>
      </c>
    </row>
    <row r="95" spans="1:17" x14ac:dyDescent="0.35">
      <c r="A95" s="9">
        <v>44425</v>
      </c>
      <c r="B95" s="4" t="s">
        <v>43</v>
      </c>
      <c r="C95" s="6">
        <v>21.19</v>
      </c>
      <c r="D95" s="10">
        <v>0.65372229999996989</v>
      </c>
      <c r="E95" s="6">
        <v>13.852375536999363</v>
      </c>
      <c r="F95" s="11">
        <v>494.9778622</v>
      </c>
      <c r="G95" s="6">
        <v>11.836</v>
      </c>
      <c r="H95" s="6">
        <v>-6.1149183941997185</v>
      </c>
      <c r="I95" s="4">
        <v>1</v>
      </c>
      <c r="J95" s="9">
        <v>44551.441666666666</v>
      </c>
      <c r="K95" s="4">
        <v>9073.0593683590014</v>
      </c>
      <c r="L95" s="4">
        <v>5853.0547506815983</v>
      </c>
      <c r="M95" s="4" t="s">
        <v>9</v>
      </c>
      <c r="N95" s="6">
        <v>3.45</v>
      </c>
      <c r="O95" s="5">
        <v>0</v>
      </c>
      <c r="P95" s="6">
        <v>-3223.47</v>
      </c>
      <c r="Q95" s="5">
        <v>0</v>
      </c>
    </row>
    <row r="96" spans="1:17" x14ac:dyDescent="0.35">
      <c r="A96" s="9">
        <v>44426</v>
      </c>
      <c r="B96" s="4" t="s">
        <v>43</v>
      </c>
      <c r="C96" s="6">
        <v>22.98</v>
      </c>
      <c r="D96" s="10">
        <v>0.15715610000000879</v>
      </c>
      <c r="E96" s="6">
        <v>3.6114471780002022</v>
      </c>
      <c r="F96" s="11">
        <v>494.9778622</v>
      </c>
      <c r="G96" s="6">
        <v>11.836</v>
      </c>
      <c r="H96" s="6">
        <v>-1.751347578400098</v>
      </c>
      <c r="I96" s="4">
        <v>1</v>
      </c>
      <c r="J96" s="9">
        <v>44551.441666666666</v>
      </c>
      <c r="K96" s="4">
        <v>9073.0593683590014</v>
      </c>
      <c r="L96" s="4">
        <v>5853.0547506815983</v>
      </c>
      <c r="M96" s="4" t="s">
        <v>9</v>
      </c>
      <c r="N96" s="6">
        <v>3.45</v>
      </c>
      <c r="O96" s="5">
        <v>0</v>
      </c>
      <c r="P96" s="6">
        <v>-3223.47</v>
      </c>
      <c r="Q96" s="5">
        <v>0</v>
      </c>
    </row>
    <row r="97" spans="1:17" x14ac:dyDescent="0.35">
      <c r="A97" s="9">
        <v>44427</v>
      </c>
      <c r="B97" s="4" t="s">
        <v>43</v>
      </c>
      <c r="C97" s="6">
        <v>23.63</v>
      </c>
      <c r="D97" s="10">
        <v>0.93751969999999574</v>
      </c>
      <c r="E97" s="6">
        <v>22.153590510999898</v>
      </c>
      <c r="F97" s="11">
        <v>494.9778622</v>
      </c>
      <c r="G97" s="6">
        <v>11.836</v>
      </c>
      <c r="H97" s="6">
        <v>-11.057107341799949</v>
      </c>
      <c r="I97" s="4">
        <v>1</v>
      </c>
      <c r="J97" s="9">
        <v>44551.441666666666</v>
      </c>
      <c r="K97" s="4">
        <v>9073.0593683590014</v>
      </c>
      <c r="L97" s="4">
        <v>5853.0547506815983</v>
      </c>
      <c r="M97" s="4" t="s">
        <v>9</v>
      </c>
      <c r="N97" s="6">
        <v>3.45</v>
      </c>
      <c r="O97" s="5">
        <v>0</v>
      </c>
      <c r="P97" s="6">
        <v>-3223.47</v>
      </c>
      <c r="Q97" s="5">
        <v>0</v>
      </c>
    </row>
    <row r="98" spans="1:17" x14ac:dyDescent="0.35">
      <c r="A98" s="9">
        <v>44428</v>
      </c>
      <c r="B98" s="4" t="s">
        <v>43</v>
      </c>
      <c r="C98" s="6">
        <v>24.77</v>
      </c>
      <c r="D98" s="10">
        <v>5.5400000002236993E-4</v>
      </c>
      <c r="E98" s="6">
        <v>1.3722580000554103E-2</v>
      </c>
      <c r="F98" s="11">
        <v>494.9778622</v>
      </c>
      <c r="G98" s="6">
        <v>11.836</v>
      </c>
      <c r="H98" s="6">
        <v>-7.1654360002893326E-3</v>
      </c>
      <c r="I98" s="4">
        <v>1</v>
      </c>
      <c r="J98" s="9">
        <v>44551.441666666666</v>
      </c>
      <c r="K98" s="4">
        <v>9073.0593683590014</v>
      </c>
      <c r="L98" s="4">
        <v>5853.0547506815983</v>
      </c>
      <c r="M98" s="4" t="s">
        <v>9</v>
      </c>
      <c r="N98" s="6">
        <v>3.45</v>
      </c>
      <c r="O98" s="5">
        <v>0</v>
      </c>
      <c r="P98" s="6">
        <v>-3223.47</v>
      </c>
      <c r="Q98" s="5">
        <v>0</v>
      </c>
    </row>
    <row r="99" spans="1:17" x14ac:dyDescent="0.35">
      <c r="A99" s="9">
        <v>44429</v>
      </c>
      <c r="B99" s="4" t="s">
        <v>43</v>
      </c>
      <c r="C99" s="6">
        <v>23.01</v>
      </c>
      <c r="D99" s="10">
        <v>0.27292749999998023</v>
      </c>
      <c r="E99" s="6">
        <v>6.2800617749995453</v>
      </c>
      <c r="F99" s="11">
        <v>494.9778622</v>
      </c>
      <c r="G99" s="6">
        <v>11.836</v>
      </c>
      <c r="H99" s="6">
        <v>-3.0496918849997794</v>
      </c>
      <c r="I99" s="4">
        <v>1</v>
      </c>
      <c r="J99" s="9">
        <v>44551.441666666666</v>
      </c>
      <c r="K99" s="4">
        <v>9073.0593683590014</v>
      </c>
      <c r="L99" s="4">
        <v>5853.0547506815983</v>
      </c>
      <c r="M99" s="4" t="s">
        <v>9</v>
      </c>
      <c r="N99" s="6">
        <v>3.45</v>
      </c>
      <c r="O99" s="5">
        <v>0</v>
      </c>
      <c r="P99" s="6">
        <v>-3223.47</v>
      </c>
      <c r="Q99" s="5">
        <v>0</v>
      </c>
    </row>
    <row r="100" spans="1:17" x14ac:dyDescent="0.35">
      <c r="A100" s="9">
        <v>44430</v>
      </c>
      <c r="B100" s="4" t="s">
        <v>43</v>
      </c>
      <c r="C100" s="6">
        <v>23.07</v>
      </c>
      <c r="D100" s="10">
        <v>8.9766999999994823E-2</v>
      </c>
      <c r="E100" s="6">
        <v>2.0709246899998806</v>
      </c>
      <c r="F100" s="11">
        <v>494.9778622</v>
      </c>
      <c r="G100" s="6">
        <v>11.836</v>
      </c>
      <c r="H100" s="6">
        <v>-1.0084424779999417</v>
      </c>
      <c r="I100" s="4">
        <v>1</v>
      </c>
      <c r="J100" s="9">
        <v>44551.441666666666</v>
      </c>
      <c r="K100" s="4">
        <v>9073.0593683590014</v>
      </c>
      <c r="L100" s="4">
        <v>5853.0547506815983</v>
      </c>
      <c r="M100" s="4" t="s">
        <v>9</v>
      </c>
      <c r="N100" s="6">
        <v>3.45</v>
      </c>
      <c r="O100" s="5">
        <v>0</v>
      </c>
      <c r="P100" s="6">
        <v>-3223.47</v>
      </c>
      <c r="Q100" s="5">
        <v>0</v>
      </c>
    </row>
    <row r="101" spans="1:17" x14ac:dyDescent="0.35">
      <c r="A101" s="9">
        <v>44431.547569444447</v>
      </c>
      <c r="B101" s="4" t="s">
        <v>43</v>
      </c>
      <c r="C101" s="6">
        <v>25.36</v>
      </c>
      <c r="D101" s="10">
        <v>0.2540000000000191</v>
      </c>
      <c r="E101" s="6">
        <v>6.4416940000004841</v>
      </c>
      <c r="F101" s="11">
        <v>494.9778622</v>
      </c>
      <c r="G101" s="6">
        <v>11.836</v>
      </c>
      <c r="H101" s="6">
        <v>-3.4353500000002581</v>
      </c>
      <c r="I101" s="4">
        <v>1</v>
      </c>
      <c r="J101" s="9">
        <v>44551.441666666666</v>
      </c>
      <c r="K101" s="4">
        <v>9073.0593683590014</v>
      </c>
      <c r="L101" s="4">
        <v>5853.0547506815983</v>
      </c>
      <c r="M101" s="4" t="s">
        <v>9</v>
      </c>
      <c r="N101" s="6">
        <v>3.45</v>
      </c>
      <c r="O101" s="5">
        <v>0</v>
      </c>
      <c r="P101" s="6">
        <v>-3223.47</v>
      </c>
      <c r="Q101" s="5">
        <v>0</v>
      </c>
    </row>
    <row r="102" spans="1:17" x14ac:dyDescent="0.35">
      <c r="A102" s="9">
        <v>44432.520092592589</v>
      </c>
      <c r="B102" s="4" t="s">
        <v>43</v>
      </c>
      <c r="C102" s="6">
        <v>23.37</v>
      </c>
      <c r="D102" s="10">
        <v>0.70900000000000318</v>
      </c>
      <c r="E102" s="6">
        <v>16.571457000000073</v>
      </c>
      <c r="F102" s="11">
        <v>494.9778622</v>
      </c>
      <c r="G102" s="6">
        <v>11.836</v>
      </c>
      <c r="H102" s="6">
        <v>-8.1797330000000361</v>
      </c>
      <c r="I102" s="4">
        <v>1</v>
      </c>
      <c r="J102" s="9">
        <v>44551.441666666666</v>
      </c>
      <c r="K102" s="4">
        <v>9073.0593683590014</v>
      </c>
      <c r="L102" s="4">
        <v>5853.0547506815983</v>
      </c>
      <c r="M102" s="4" t="s">
        <v>9</v>
      </c>
      <c r="N102" s="6">
        <v>3.45</v>
      </c>
      <c r="O102" s="5">
        <v>0</v>
      </c>
      <c r="P102" s="6">
        <v>-3223.47</v>
      </c>
      <c r="Q102" s="5">
        <v>0</v>
      </c>
    </row>
    <row r="103" spans="1:17" x14ac:dyDescent="0.35">
      <c r="A103" s="9">
        <v>44433.599606481483</v>
      </c>
      <c r="B103" s="4" t="s">
        <v>43</v>
      </c>
      <c r="C103" s="6">
        <v>25.97</v>
      </c>
      <c r="D103" s="10">
        <v>0.78699999999997772</v>
      </c>
      <c r="E103" s="6">
        <v>20.434454999999421</v>
      </c>
      <c r="F103" s="11">
        <v>494.9778622</v>
      </c>
      <c r="G103" s="6">
        <v>11.836</v>
      </c>
      <c r="H103" s="6">
        <v>-11.119522999999685</v>
      </c>
      <c r="I103" s="4">
        <v>1</v>
      </c>
      <c r="J103" s="9">
        <v>44551.441666666666</v>
      </c>
      <c r="K103" s="4">
        <v>9073.0593683590014</v>
      </c>
      <c r="L103" s="4">
        <v>5853.0547506815983</v>
      </c>
      <c r="M103" s="4" t="s">
        <v>9</v>
      </c>
      <c r="N103" s="6">
        <v>3.45</v>
      </c>
      <c r="O103" s="5">
        <v>0</v>
      </c>
      <c r="P103" s="6">
        <v>-3223.47</v>
      </c>
      <c r="Q103" s="5">
        <v>0</v>
      </c>
    </row>
    <row r="104" spans="1:17" x14ac:dyDescent="0.35">
      <c r="A104" s="9">
        <v>44434.413495370369</v>
      </c>
      <c r="B104" s="4" t="s">
        <v>43</v>
      </c>
      <c r="C104" s="6">
        <v>25.5</v>
      </c>
      <c r="D104" s="10">
        <v>0.60617000000002008</v>
      </c>
      <c r="E104" s="6">
        <v>15.456122660000512</v>
      </c>
      <c r="F104" s="11">
        <v>494.9778622</v>
      </c>
      <c r="G104" s="6">
        <v>11.836</v>
      </c>
      <c r="H104" s="6">
        <v>-8.2814945400002742</v>
      </c>
      <c r="I104" s="4">
        <v>1</v>
      </c>
      <c r="J104" s="9">
        <v>44551.441666666666</v>
      </c>
      <c r="K104" s="4">
        <v>9073.0593683590014</v>
      </c>
      <c r="L104" s="4">
        <v>5853.0547506815983</v>
      </c>
      <c r="M104" s="4" t="s">
        <v>9</v>
      </c>
      <c r="N104" s="6">
        <v>3.45</v>
      </c>
      <c r="O104" s="5">
        <v>0</v>
      </c>
      <c r="P104" s="6">
        <v>-3223.47</v>
      </c>
      <c r="Q104" s="5">
        <v>0</v>
      </c>
    </row>
    <row r="105" spans="1:17" x14ac:dyDescent="0.35">
      <c r="A105" s="9">
        <v>44435.600347222222</v>
      </c>
      <c r="B105" s="4" t="s">
        <v>43</v>
      </c>
      <c r="C105" s="6">
        <v>25.86</v>
      </c>
      <c r="D105" s="10">
        <v>0.8468300000000113</v>
      </c>
      <c r="E105" s="6">
        <v>21.901564290000291</v>
      </c>
      <c r="F105" s="11">
        <v>494.9778622</v>
      </c>
      <c r="G105" s="6">
        <v>11.836</v>
      </c>
      <c r="H105" s="6">
        <v>-11.878484410000157</v>
      </c>
      <c r="I105" s="4">
        <v>1</v>
      </c>
      <c r="J105" s="9">
        <v>44551.441666666666</v>
      </c>
      <c r="K105" s="4">
        <v>9073.0593683590014</v>
      </c>
      <c r="L105" s="4">
        <v>5853.0547506815983</v>
      </c>
      <c r="M105" s="4" t="s">
        <v>9</v>
      </c>
      <c r="N105" s="6">
        <v>3.45</v>
      </c>
      <c r="O105" s="5">
        <v>0</v>
      </c>
      <c r="P105" s="6">
        <v>-3223.47</v>
      </c>
      <c r="Q105" s="5">
        <v>0</v>
      </c>
    </row>
    <row r="106" spans="1:17" x14ac:dyDescent="0.35">
      <c r="A106" s="9">
        <v>44436.450104166666</v>
      </c>
      <c r="B106" s="4" t="s">
        <v>43</v>
      </c>
      <c r="C106" s="6">
        <v>25.39</v>
      </c>
      <c r="D106" s="10">
        <v>0.60899999999998045</v>
      </c>
      <c r="E106" s="6">
        <v>15.459464999999504</v>
      </c>
      <c r="F106" s="11">
        <v>494.9778622</v>
      </c>
      <c r="G106" s="6">
        <v>11.836</v>
      </c>
      <c r="H106" s="6">
        <v>-8.2513409999997354</v>
      </c>
      <c r="I106" s="4">
        <v>1</v>
      </c>
      <c r="J106" s="9">
        <v>44551.441666666666</v>
      </c>
      <c r="K106" s="4">
        <v>9073.0593683590014</v>
      </c>
      <c r="L106" s="4">
        <v>5853.0547506815983</v>
      </c>
      <c r="M106" s="4" t="s">
        <v>9</v>
      </c>
      <c r="N106" s="6">
        <v>3.45</v>
      </c>
      <c r="O106" s="5">
        <v>0</v>
      </c>
      <c r="P106" s="6">
        <v>-3223.47</v>
      </c>
      <c r="Q106" s="5">
        <v>0</v>
      </c>
    </row>
    <row r="107" spans="1:17" x14ac:dyDescent="0.35">
      <c r="A107" s="9">
        <v>44437.40824074074</v>
      </c>
      <c r="B107" s="4" t="s">
        <v>43</v>
      </c>
      <c r="C107" s="6">
        <v>25.26</v>
      </c>
      <c r="D107" s="10">
        <v>0.70199999999999818</v>
      </c>
      <c r="E107" s="6">
        <v>17.734625999999952</v>
      </c>
      <c r="F107" s="11">
        <v>494.9778622</v>
      </c>
      <c r="G107" s="6">
        <v>11.836</v>
      </c>
      <c r="H107" s="6">
        <v>-9.4257539999999747</v>
      </c>
      <c r="I107" s="4">
        <v>1</v>
      </c>
      <c r="J107" s="9">
        <v>44551.441666666666</v>
      </c>
      <c r="K107" s="4">
        <v>9073.0593683590014</v>
      </c>
      <c r="L107" s="4">
        <v>5853.0547506815983</v>
      </c>
      <c r="M107" s="4" t="s">
        <v>9</v>
      </c>
      <c r="N107" s="6">
        <v>3.45</v>
      </c>
      <c r="O107" s="5">
        <v>0</v>
      </c>
      <c r="P107" s="6">
        <v>-3223.47</v>
      </c>
      <c r="Q107" s="5">
        <v>0</v>
      </c>
    </row>
    <row r="108" spans="1:17" x14ac:dyDescent="0.35">
      <c r="A108" s="9">
        <v>44438.427523148152</v>
      </c>
      <c r="B108" s="4" t="s">
        <v>43</v>
      </c>
      <c r="C108" s="6">
        <v>23.68</v>
      </c>
      <c r="D108" s="10">
        <v>0.73511999999999489</v>
      </c>
      <c r="E108" s="6">
        <v>17.407641599999877</v>
      </c>
      <c r="F108" s="11">
        <v>494.9778622</v>
      </c>
      <c r="G108" s="6">
        <v>11.836</v>
      </c>
      <c r="H108" s="6">
        <v>-8.7067612799999381</v>
      </c>
      <c r="I108" s="4">
        <v>1</v>
      </c>
      <c r="J108" s="9">
        <v>44551.441666666666</v>
      </c>
      <c r="K108" s="4">
        <v>9073.0593683590014</v>
      </c>
      <c r="L108" s="4">
        <v>5853.0547506815983</v>
      </c>
      <c r="M108" s="4" t="s">
        <v>9</v>
      </c>
      <c r="N108" s="6">
        <v>3.45</v>
      </c>
      <c r="O108" s="5">
        <v>0</v>
      </c>
      <c r="P108" s="6">
        <v>-3223.47</v>
      </c>
      <c r="Q108" s="5">
        <v>0</v>
      </c>
    </row>
    <row r="109" spans="1:17" x14ac:dyDescent="0.35">
      <c r="A109" s="9">
        <v>44439.451365740744</v>
      </c>
      <c r="B109" s="4" t="s">
        <v>43</v>
      </c>
      <c r="C109" s="6">
        <v>23.54</v>
      </c>
      <c r="D109" s="10">
        <v>0.7388599999999883</v>
      </c>
      <c r="E109" s="6">
        <v>17.389808959999726</v>
      </c>
      <c r="F109" s="11">
        <v>494.9778622</v>
      </c>
      <c r="G109" s="6">
        <v>11.836</v>
      </c>
      <c r="H109" s="6">
        <v>-8.6446619999998653</v>
      </c>
      <c r="I109" s="4">
        <v>1</v>
      </c>
      <c r="J109" s="9">
        <v>44551.441666666666</v>
      </c>
      <c r="K109" s="4">
        <v>9073.0593683590014</v>
      </c>
      <c r="L109" s="4">
        <v>5853.0547506815983</v>
      </c>
      <c r="M109" s="4" t="s">
        <v>9</v>
      </c>
      <c r="N109" s="6">
        <v>3.45</v>
      </c>
      <c r="O109" s="5">
        <v>0</v>
      </c>
      <c r="P109" s="6">
        <v>-3223.47</v>
      </c>
      <c r="Q109" s="5">
        <v>0</v>
      </c>
    </row>
    <row r="110" spans="1:17" x14ac:dyDescent="0.35">
      <c r="A110" s="9">
        <v>44441.485023148147</v>
      </c>
      <c r="B110" s="4" t="s">
        <v>43</v>
      </c>
      <c r="C110" s="6">
        <v>23.64</v>
      </c>
      <c r="D110" s="10">
        <v>1.4703200000000152</v>
      </c>
      <c r="E110" s="6">
        <v>34.756894480000362</v>
      </c>
      <c r="F110" s="11">
        <v>494.9778622</v>
      </c>
      <c r="G110" s="6">
        <v>11.836</v>
      </c>
      <c r="H110" s="6">
        <v>-17.354186960000181</v>
      </c>
      <c r="I110" s="4">
        <v>1</v>
      </c>
      <c r="J110" s="9">
        <v>44551.441666666666</v>
      </c>
      <c r="K110" s="4">
        <v>9073.0593683590014</v>
      </c>
      <c r="L110" s="4">
        <v>5853.0547506815983</v>
      </c>
      <c r="M110" s="4" t="s">
        <v>9</v>
      </c>
      <c r="N110" s="6">
        <v>3.45</v>
      </c>
      <c r="O110" s="5">
        <v>0</v>
      </c>
      <c r="P110" s="6">
        <v>-3223.47</v>
      </c>
      <c r="Q110" s="5">
        <v>0</v>
      </c>
    </row>
    <row r="111" spans="1:17" x14ac:dyDescent="0.35">
      <c r="A111" s="9">
        <v>44442.401990740742</v>
      </c>
      <c r="B111" s="4" t="s">
        <v>43</v>
      </c>
      <c r="C111" s="6">
        <v>23.72</v>
      </c>
      <c r="D111" s="10">
        <v>0.65969999999998663</v>
      </c>
      <c r="E111" s="6">
        <v>15.644785499999683</v>
      </c>
      <c r="F111" s="11">
        <v>494.9778622</v>
      </c>
      <c r="G111" s="6">
        <v>11.836</v>
      </c>
      <c r="H111" s="6">
        <v>-7.836576299999841</v>
      </c>
      <c r="I111" s="4">
        <v>1</v>
      </c>
      <c r="J111" s="9">
        <v>44551.441666666666</v>
      </c>
      <c r="K111" s="4">
        <v>9073.0593683590014</v>
      </c>
      <c r="L111" s="4">
        <v>5853.0547506815983</v>
      </c>
      <c r="M111" s="4" t="s">
        <v>9</v>
      </c>
      <c r="N111" s="6">
        <v>3.45</v>
      </c>
      <c r="O111" s="5">
        <v>0</v>
      </c>
      <c r="P111" s="6">
        <v>-3223.47</v>
      </c>
      <c r="Q111" s="5">
        <v>0</v>
      </c>
    </row>
    <row r="112" spans="1:17" x14ac:dyDescent="0.35">
      <c r="A112" s="9">
        <v>44443.779988425929</v>
      </c>
      <c r="B112" s="4" t="s">
        <v>43</v>
      </c>
      <c r="C112" s="6">
        <v>24.2</v>
      </c>
      <c r="D112" s="10">
        <v>0.99799999999999045</v>
      </c>
      <c r="E112" s="6">
        <v>24.153595999999769</v>
      </c>
      <c r="F112" s="11">
        <v>494.9778622</v>
      </c>
      <c r="G112" s="6">
        <v>11.836</v>
      </c>
      <c r="H112" s="6">
        <v>-12.341267999999882</v>
      </c>
      <c r="I112" s="4">
        <v>1</v>
      </c>
      <c r="J112" s="9">
        <v>44551.441666666666</v>
      </c>
      <c r="K112" s="4">
        <v>9073.0593683590014</v>
      </c>
      <c r="L112" s="4">
        <v>5853.0547506815983</v>
      </c>
      <c r="M112" s="4" t="s">
        <v>9</v>
      </c>
      <c r="N112" s="6">
        <v>3.45</v>
      </c>
      <c r="O112" s="5">
        <v>0</v>
      </c>
      <c r="P112" s="6">
        <v>-3223.47</v>
      </c>
      <c r="Q112" s="5">
        <v>0</v>
      </c>
    </row>
    <row r="113" spans="1:17" x14ac:dyDescent="0.35">
      <c r="A113" s="9">
        <v>44444.791284722225</v>
      </c>
      <c r="B113" s="4" t="s">
        <v>43</v>
      </c>
      <c r="C113" s="6">
        <v>24.98</v>
      </c>
      <c r="D113" s="10">
        <v>0.73400000000003729</v>
      </c>
      <c r="E113" s="6">
        <v>18.338256000000932</v>
      </c>
      <c r="F113" s="11">
        <v>494.9778622</v>
      </c>
      <c r="G113" s="6">
        <v>11.836</v>
      </c>
      <c r="H113" s="6">
        <v>-9.6506320000004902</v>
      </c>
      <c r="I113" s="4">
        <v>1</v>
      </c>
      <c r="J113" s="9">
        <v>44551.441666666666</v>
      </c>
      <c r="K113" s="4">
        <v>9073.0593683590014</v>
      </c>
      <c r="L113" s="4">
        <v>5853.0547506815983</v>
      </c>
      <c r="M113" s="4" t="s">
        <v>9</v>
      </c>
      <c r="N113" s="6">
        <v>3.45</v>
      </c>
      <c r="O113" s="5">
        <v>0</v>
      </c>
      <c r="P113" s="6">
        <v>-3223.47</v>
      </c>
      <c r="Q113" s="5">
        <v>0</v>
      </c>
    </row>
    <row r="114" spans="1:17" x14ac:dyDescent="0.35">
      <c r="A114" s="9">
        <v>44446.511736111112</v>
      </c>
      <c r="B114" s="4" t="s">
        <v>43</v>
      </c>
      <c r="C114" s="6">
        <v>21.34</v>
      </c>
      <c r="D114" s="10">
        <v>1.2353899999999953</v>
      </c>
      <c r="E114" s="6">
        <v>26.360751819999901</v>
      </c>
      <c r="F114" s="11">
        <v>494.9778622</v>
      </c>
      <c r="G114" s="6">
        <v>11.836</v>
      </c>
      <c r="H114" s="6">
        <v>-11.738675779999957</v>
      </c>
      <c r="I114" s="4">
        <v>1</v>
      </c>
      <c r="J114" s="9">
        <v>44551.441666666666</v>
      </c>
      <c r="K114" s="4">
        <v>9073.0593683590014</v>
      </c>
      <c r="L114" s="4">
        <v>5853.0547506815983</v>
      </c>
      <c r="M114" s="4" t="s">
        <v>9</v>
      </c>
      <c r="N114" s="6">
        <v>3.45</v>
      </c>
      <c r="O114" s="5">
        <v>0</v>
      </c>
      <c r="P114" s="6">
        <v>-3223.47</v>
      </c>
      <c r="Q114" s="5">
        <v>0</v>
      </c>
    </row>
    <row r="115" spans="1:17" x14ac:dyDescent="0.35">
      <c r="A115" s="9">
        <v>44447.525069444448</v>
      </c>
      <c r="B115" s="4" t="s">
        <v>43</v>
      </c>
      <c r="C115" s="6">
        <v>20.010000000000002</v>
      </c>
      <c r="D115" s="10">
        <v>0.72861000000000331</v>
      </c>
      <c r="E115" s="6">
        <v>14.581671930000066</v>
      </c>
      <c r="F115" s="11">
        <v>494.9778622</v>
      </c>
      <c r="G115" s="6">
        <v>11.836</v>
      </c>
      <c r="H115" s="6">
        <v>-5.9578439700000274</v>
      </c>
      <c r="I115" s="4">
        <v>1</v>
      </c>
      <c r="J115" s="9">
        <v>44551.441666666666</v>
      </c>
      <c r="K115" s="4">
        <v>9073.0593683590014</v>
      </c>
      <c r="L115" s="4">
        <v>5853.0547506815983</v>
      </c>
      <c r="M115" s="4" t="s">
        <v>9</v>
      </c>
      <c r="N115" s="6">
        <v>3.45</v>
      </c>
      <c r="O115" s="5">
        <v>0</v>
      </c>
      <c r="P115" s="6">
        <v>-3223.47</v>
      </c>
      <c r="Q115" s="5">
        <v>0</v>
      </c>
    </row>
    <row r="116" spans="1:17" x14ac:dyDescent="0.35">
      <c r="A116" s="9">
        <v>44448.488611111112</v>
      </c>
      <c r="B116" s="4" t="s">
        <v>43</v>
      </c>
      <c r="C116" s="6">
        <v>20.27</v>
      </c>
      <c r="D116" s="10">
        <v>0.69299999999998363</v>
      </c>
      <c r="E116" s="6">
        <v>14.048495999999668</v>
      </c>
      <c r="F116" s="11">
        <v>494.9778622</v>
      </c>
      <c r="G116" s="6">
        <v>11.836</v>
      </c>
      <c r="H116" s="6">
        <v>-5.8461479999998609</v>
      </c>
      <c r="I116" s="4">
        <v>1</v>
      </c>
      <c r="J116" s="9">
        <v>44551.441666666666</v>
      </c>
      <c r="K116" s="4">
        <v>9073.0593683590014</v>
      </c>
      <c r="L116" s="4">
        <v>5853.0547506815983</v>
      </c>
      <c r="M116" s="4" t="s">
        <v>9</v>
      </c>
      <c r="N116" s="6">
        <v>3.45</v>
      </c>
      <c r="O116" s="5">
        <v>0</v>
      </c>
      <c r="P116" s="6">
        <v>-3223.47</v>
      </c>
      <c r="Q116" s="5">
        <v>0</v>
      </c>
    </row>
    <row r="117" spans="1:17" x14ac:dyDescent="0.35">
      <c r="A117" s="9">
        <v>44449.515324074076</v>
      </c>
      <c r="B117" s="4" t="s">
        <v>43</v>
      </c>
      <c r="C117" s="6">
        <v>19.57</v>
      </c>
      <c r="D117" s="10">
        <v>0.73980000000000246</v>
      </c>
      <c r="E117" s="6">
        <v>14.477146200000048</v>
      </c>
      <c r="F117" s="11">
        <v>494.9778622</v>
      </c>
      <c r="G117" s="6">
        <v>11.836</v>
      </c>
      <c r="H117" s="6">
        <v>-5.7208734000000181</v>
      </c>
      <c r="I117" s="4">
        <v>1</v>
      </c>
      <c r="J117" s="9">
        <v>44551.441666666666</v>
      </c>
      <c r="K117" s="4">
        <v>9073.0593683590014</v>
      </c>
      <c r="L117" s="4">
        <v>5853.0547506815983</v>
      </c>
      <c r="M117" s="4" t="s">
        <v>9</v>
      </c>
      <c r="N117" s="6">
        <v>3.45</v>
      </c>
      <c r="O117" s="5">
        <v>0</v>
      </c>
      <c r="P117" s="6">
        <v>-3223.47</v>
      </c>
      <c r="Q117" s="5">
        <v>0</v>
      </c>
    </row>
    <row r="118" spans="1:17" x14ac:dyDescent="0.35">
      <c r="A118" s="9">
        <v>44450.408958333333</v>
      </c>
      <c r="B118" s="4" t="s">
        <v>43</v>
      </c>
      <c r="C118" s="6">
        <v>19.87</v>
      </c>
      <c r="D118" s="10">
        <v>0.640199999999993</v>
      </c>
      <c r="E118" s="6">
        <v>12.723334799999861</v>
      </c>
      <c r="F118" s="11">
        <v>494.9778622</v>
      </c>
      <c r="G118" s="6">
        <v>11.836</v>
      </c>
      <c r="H118" s="6">
        <v>-5.1459275999999443</v>
      </c>
      <c r="I118" s="4">
        <v>1</v>
      </c>
      <c r="J118" s="9">
        <v>44551.441666666666</v>
      </c>
      <c r="K118" s="4">
        <v>9073.0593683590014</v>
      </c>
      <c r="L118" s="4">
        <v>5853.0547506815983</v>
      </c>
      <c r="M118" s="4" t="s">
        <v>9</v>
      </c>
      <c r="N118" s="6">
        <v>3.45</v>
      </c>
      <c r="O118" s="5">
        <v>0</v>
      </c>
      <c r="P118" s="6">
        <v>-3223.47</v>
      </c>
      <c r="Q118" s="5">
        <v>0</v>
      </c>
    </row>
    <row r="119" spans="1:17" x14ac:dyDescent="0.35">
      <c r="A119" s="9">
        <v>44451.574178240742</v>
      </c>
      <c r="B119" s="4" t="s">
        <v>43</v>
      </c>
      <c r="C119" s="6">
        <v>20.46</v>
      </c>
      <c r="D119" s="10">
        <v>1.0330000000000155</v>
      </c>
      <c r="E119" s="6">
        <v>21.138279000000317</v>
      </c>
      <c r="F119" s="11">
        <v>494.9778622</v>
      </c>
      <c r="G119" s="6">
        <v>11.836</v>
      </c>
      <c r="H119" s="6">
        <v>-8.9116910000001344</v>
      </c>
      <c r="I119" s="4">
        <v>1</v>
      </c>
      <c r="J119" s="9">
        <v>44551.441666666666</v>
      </c>
      <c r="K119" s="4">
        <v>9073.0593683590014</v>
      </c>
      <c r="L119" s="4">
        <v>5853.0547506815983</v>
      </c>
      <c r="M119" s="4" t="s">
        <v>9</v>
      </c>
      <c r="N119" s="6">
        <v>3.45</v>
      </c>
      <c r="O119" s="5">
        <v>0</v>
      </c>
      <c r="P119" s="6">
        <v>-3223.47</v>
      </c>
      <c r="Q119" s="5">
        <v>0</v>
      </c>
    </row>
    <row r="120" spans="1:17" x14ac:dyDescent="0.35">
      <c r="A120" s="9">
        <v>44453.363518518519</v>
      </c>
      <c r="B120" s="4" t="s">
        <v>43</v>
      </c>
      <c r="C120" s="6">
        <v>19.75</v>
      </c>
      <c r="D120" s="10">
        <v>1.0960000000000036</v>
      </c>
      <c r="E120" s="6">
        <v>21.647096000000072</v>
      </c>
      <c r="F120" s="11">
        <v>494.9778622</v>
      </c>
      <c r="G120" s="6">
        <v>11.836</v>
      </c>
      <c r="H120" s="6">
        <v>-8.6748400000000281</v>
      </c>
      <c r="I120" s="4">
        <v>1</v>
      </c>
      <c r="J120" s="9">
        <v>44551.441666666666</v>
      </c>
      <c r="K120" s="4">
        <v>9073.0593683590014</v>
      </c>
      <c r="L120" s="4">
        <v>5853.0547506815983</v>
      </c>
      <c r="M120" s="4" t="s">
        <v>9</v>
      </c>
      <c r="N120" s="6">
        <v>3.45</v>
      </c>
      <c r="O120" s="5">
        <v>0</v>
      </c>
      <c r="P120" s="6">
        <v>-3223.47</v>
      </c>
      <c r="Q120" s="5">
        <v>0</v>
      </c>
    </row>
    <row r="121" spans="1:17" x14ac:dyDescent="0.35">
      <c r="A121" s="9">
        <v>44453.998796296299</v>
      </c>
      <c r="B121" s="4" t="s">
        <v>43</v>
      </c>
      <c r="C121" s="6">
        <v>21.03</v>
      </c>
      <c r="D121" s="10">
        <v>0.45400000000000773</v>
      </c>
      <c r="E121" s="6">
        <v>9.5453500000001625</v>
      </c>
      <c r="F121" s="11">
        <v>494.9778622</v>
      </c>
      <c r="G121" s="6">
        <v>11.836</v>
      </c>
      <c r="H121" s="6">
        <v>-4.1718060000000712</v>
      </c>
      <c r="I121" s="4">
        <v>1</v>
      </c>
      <c r="J121" s="9">
        <v>44551.441666666666</v>
      </c>
      <c r="K121" s="4">
        <v>9073.0593683590014</v>
      </c>
      <c r="L121" s="4">
        <v>5853.0547506815983</v>
      </c>
      <c r="M121" s="4" t="s">
        <v>9</v>
      </c>
      <c r="N121" s="6">
        <v>3.45</v>
      </c>
      <c r="O121" s="5">
        <v>0</v>
      </c>
      <c r="P121" s="6">
        <v>-3223.47</v>
      </c>
      <c r="Q121" s="5">
        <v>0</v>
      </c>
    </row>
    <row r="122" spans="1:17" x14ac:dyDescent="0.35">
      <c r="A122" s="9">
        <v>44455.40347222222</v>
      </c>
      <c r="B122" s="4" t="s">
        <v>43</v>
      </c>
      <c r="C122" s="6">
        <v>22.97</v>
      </c>
      <c r="D122" s="10">
        <v>1.0036999999999807</v>
      </c>
      <c r="E122" s="6">
        <v>23.058000099999557</v>
      </c>
      <c r="F122" s="11">
        <v>494.9778622</v>
      </c>
      <c r="G122" s="6">
        <v>11.836</v>
      </c>
      <c r="H122" s="6">
        <v>-11.178206899999784</v>
      </c>
      <c r="I122" s="4">
        <v>1</v>
      </c>
      <c r="J122" s="9">
        <v>44551.441666666666</v>
      </c>
      <c r="K122" s="4">
        <v>9073.0593683590014</v>
      </c>
      <c r="L122" s="4">
        <v>5853.0547506815983</v>
      </c>
      <c r="M122" s="4" t="s">
        <v>9</v>
      </c>
      <c r="N122" s="6">
        <v>3.45</v>
      </c>
      <c r="O122" s="5">
        <v>0</v>
      </c>
      <c r="P122" s="6">
        <v>-3223.47</v>
      </c>
      <c r="Q122" s="5">
        <v>0</v>
      </c>
    </row>
    <row r="123" spans="1:17" x14ac:dyDescent="0.35">
      <c r="A123" s="9">
        <v>44456.601655092592</v>
      </c>
      <c r="B123" s="4" t="s">
        <v>43</v>
      </c>
      <c r="C123" s="6">
        <v>21.42</v>
      </c>
      <c r="D123" s="10">
        <v>0.84629999999998518</v>
      </c>
      <c r="E123" s="6">
        <v>18.129438599999684</v>
      </c>
      <c r="F123" s="11">
        <v>494.9778622</v>
      </c>
      <c r="G123" s="6">
        <v>11.836</v>
      </c>
      <c r="H123" s="6">
        <v>-8.1126317999998587</v>
      </c>
      <c r="I123" s="4">
        <v>1</v>
      </c>
      <c r="J123" s="9">
        <v>44551.441666666666</v>
      </c>
      <c r="K123" s="4">
        <v>9073.0593683590014</v>
      </c>
      <c r="L123" s="4">
        <v>5853.0547506815983</v>
      </c>
      <c r="M123" s="4" t="s">
        <v>9</v>
      </c>
      <c r="N123" s="6">
        <v>3.45</v>
      </c>
      <c r="O123" s="5">
        <v>0</v>
      </c>
      <c r="P123" s="6">
        <v>-3223.47</v>
      </c>
      <c r="Q123" s="5">
        <v>0</v>
      </c>
    </row>
    <row r="124" spans="1:17" x14ac:dyDescent="0.35">
      <c r="A124" s="9">
        <v>44458.403101851851</v>
      </c>
      <c r="B124" s="4" t="s">
        <v>43</v>
      </c>
      <c r="C124" s="6">
        <v>22.12</v>
      </c>
      <c r="D124" s="10">
        <v>1.2970000000000255</v>
      </c>
      <c r="E124" s="6">
        <v>28.683155000000564</v>
      </c>
      <c r="F124" s="11">
        <v>494.9778622</v>
      </c>
      <c r="G124" s="6">
        <v>11.836</v>
      </c>
      <c r="H124" s="6">
        <v>-13.331863000000263</v>
      </c>
      <c r="I124" s="4">
        <v>1</v>
      </c>
      <c r="J124" s="9">
        <v>44551.441666666666</v>
      </c>
      <c r="K124" s="4">
        <v>9073.0593683590014</v>
      </c>
      <c r="L124" s="4">
        <v>5853.0547506815983</v>
      </c>
      <c r="M124" s="4" t="s">
        <v>9</v>
      </c>
      <c r="N124" s="6">
        <v>3.45</v>
      </c>
      <c r="O124" s="5">
        <v>0</v>
      </c>
      <c r="P124" s="6">
        <v>-3223.47</v>
      </c>
      <c r="Q124" s="5">
        <v>0</v>
      </c>
    </row>
    <row r="125" spans="1:17" x14ac:dyDescent="0.35">
      <c r="A125" s="9">
        <v>44459.64634259259</v>
      </c>
      <c r="B125" s="4" t="s">
        <v>43</v>
      </c>
      <c r="C125" s="6">
        <v>18.98</v>
      </c>
      <c r="D125" s="10">
        <v>0.8669999999999618</v>
      </c>
      <c r="E125" s="6">
        <v>16.451324999999276</v>
      </c>
      <c r="F125" s="11">
        <v>494.9778622</v>
      </c>
      <c r="G125" s="6">
        <v>11.836</v>
      </c>
      <c r="H125" s="6">
        <v>-6.189512999999728</v>
      </c>
      <c r="I125" s="4">
        <v>1</v>
      </c>
      <c r="J125" s="9">
        <v>44551.441666666666</v>
      </c>
      <c r="K125" s="4">
        <v>9073.0593683590014</v>
      </c>
      <c r="L125" s="4">
        <v>5853.0547506815983</v>
      </c>
      <c r="M125" s="4" t="s">
        <v>9</v>
      </c>
      <c r="N125" s="6">
        <v>3.45</v>
      </c>
      <c r="O125" s="5">
        <v>0</v>
      </c>
      <c r="P125" s="6">
        <v>-3223.47</v>
      </c>
      <c r="Q125" s="5">
        <v>0</v>
      </c>
    </row>
    <row r="126" spans="1:17" x14ac:dyDescent="0.35">
      <c r="A126" s="9">
        <v>44460.552604166667</v>
      </c>
      <c r="B126" s="4" t="s">
        <v>43</v>
      </c>
      <c r="C126" s="6">
        <v>19.05</v>
      </c>
      <c r="D126" s="10">
        <v>0.64900000000000091</v>
      </c>
      <c r="E126" s="6">
        <v>12.366046000000017</v>
      </c>
      <c r="F126" s="11">
        <v>494.9778622</v>
      </c>
      <c r="G126" s="6">
        <v>11.836</v>
      </c>
      <c r="H126" s="6">
        <v>-4.6844820000000054</v>
      </c>
      <c r="I126" s="4">
        <v>1</v>
      </c>
      <c r="J126" s="9">
        <v>44551.441666666666</v>
      </c>
      <c r="K126" s="4">
        <v>9073.0593683590014</v>
      </c>
      <c r="L126" s="4">
        <v>5853.0547506815983</v>
      </c>
      <c r="M126" s="4" t="s">
        <v>9</v>
      </c>
      <c r="N126" s="6">
        <v>3.45</v>
      </c>
      <c r="O126" s="5">
        <v>0</v>
      </c>
      <c r="P126" s="6">
        <v>-3223.47</v>
      </c>
      <c r="Q126" s="5">
        <v>0</v>
      </c>
    </row>
    <row r="127" spans="1:17" x14ac:dyDescent="0.35">
      <c r="A127" s="9">
        <v>44462.558842592596</v>
      </c>
      <c r="B127" s="4" t="s">
        <v>43</v>
      </c>
      <c r="C127" s="6">
        <v>20.13</v>
      </c>
      <c r="D127" s="10">
        <v>1.4020000000000437</v>
      </c>
      <c r="E127" s="6">
        <v>28.22226000000088</v>
      </c>
      <c r="F127" s="11">
        <v>494.9778622</v>
      </c>
      <c r="G127" s="6">
        <v>11.836</v>
      </c>
      <c r="H127" s="6">
        <v>-11.628188000000364</v>
      </c>
      <c r="I127" s="4">
        <v>1</v>
      </c>
      <c r="J127" s="9">
        <v>44551.441666666666</v>
      </c>
      <c r="K127" s="4">
        <v>9073.0593683590014</v>
      </c>
      <c r="L127" s="4">
        <v>5853.0547506815983</v>
      </c>
      <c r="M127" s="4" t="s">
        <v>9</v>
      </c>
      <c r="N127" s="6">
        <v>3.45</v>
      </c>
      <c r="O127" s="5">
        <v>0</v>
      </c>
      <c r="P127" s="6">
        <v>-3223.47</v>
      </c>
      <c r="Q127" s="5">
        <v>0</v>
      </c>
    </row>
    <row r="128" spans="1:17" x14ac:dyDescent="0.35">
      <c r="A128" s="9">
        <v>44464.780439814815</v>
      </c>
      <c r="B128" s="4" t="s">
        <v>43</v>
      </c>
      <c r="C128" s="6">
        <v>18.510000000000002</v>
      </c>
      <c r="D128" s="10">
        <v>1.5449999999999591</v>
      </c>
      <c r="E128" s="6">
        <v>28.601039999999241</v>
      </c>
      <c r="F128" s="11">
        <v>494.9778622</v>
      </c>
      <c r="G128" s="6">
        <v>11.836</v>
      </c>
      <c r="H128" s="6">
        <v>-10.314419999999725</v>
      </c>
      <c r="I128" s="4">
        <v>1</v>
      </c>
      <c r="J128" s="9">
        <v>44551.441666666666</v>
      </c>
      <c r="K128" s="4">
        <v>9073.0593683590014</v>
      </c>
      <c r="L128" s="4">
        <v>5853.0547506815983</v>
      </c>
      <c r="M128" s="4" t="s">
        <v>9</v>
      </c>
      <c r="N128" s="6">
        <v>3.45</v>
      </c>
      <c r="O128" s="5">
        <v>0</v>
      </c>
      <c r="P128" s="6">
        <v>-3223.47</v>
      </c>
      <c r="Q128" s="5">
        <v>0</v>
      </c>
    </row>
    <row r="129" spans="1:17" x14ac:dyDescent="0.35">
      <c r="A129" s="9">
        <v>44465.635462962964</v>
      </c>
      <c r="B129" s="4" t="s">
        <v>43</v>
      </c>
      <c r="C129" s="6">
        <v>19.03</v>
      </c>
      <c r="D129" s="10">
        <v>0.58000000000004093</v>
      </c>
      <c r="E129" s="6">
        <v>11.036820000000779</v>
      </c>
      <c r="F129" s="11">
        <v>494.9778622</v>
      </c>
      <c r="G129" s="6">
        <v>11.836</v>
      </c>
      <c r="H129" s="6">
        <v>-4.1719400000002942</v>
      </c>
      <c r="I129" s="4">
        <v>1</v>
      </c>
      <c r="J129" s="9">
        <v>44551.441666666666</v>
      </c>
      <c r="K129" s="4">
        <v>9073.0593683590014</v>
      </c>
      <c r="L129" s="4">
        <v>5853.0547506815983</v>
      </c>
      <c r="M129" s="4" t="s">
        <v>9</v>
      </c>
      <c r="N129" s="6">
        <v>3.45</v>
      </c>
      <c r="O129" s="5">
        <v>0</v>
      </c>
      <c r="P129" s="6">
        <v>-3223.47</v>
      </c>
      <c r="Q129" s="5">
        <v>0</v>
      </c>
    </row>
    <row r="130" spans="1:17" x14ac:dyDescent="0.35">
      <c r="A130" s="9">
        <v>44467.5312962963</v>
      </c>
      <c r="B130" s="4" t="s">
        <v>43</v>
      </c>
      <c r="C130" s="6">
        <v>18.39</v>
      </c>
      <c r="D130" s="10">
        <v>1.2899999999999636</v>
      </c>
      <c r="E130" s="6">
        <v>23.71664999999933</v>
      </c>
      <c r="F130" s="11">
        <v>494.9778622</v>
      </c>
      <c r="G130" s="6">
        <v>11.836</v>
      </c>
      <c r="H130" s="6">
        <v>-8.4482099999997597</v>
      </c>
      <c r="I130" s="4">
        <v>1</v>
      </c>
      <c r="J130" s="9">
        <v>44551.441666666666</v>
      </c>
      <c r="K130" s="4">
        <v>9073.0593683590014</v>
      </c>
      <c r="L130" s="4">
        <v>5853.0547506815983</v>
      </c>
      <c r="M130" s="4" t="s">
        <v>9</v>
      </c>
      <c r="N130" s="6">
        <v>3.45</v>
      </c>
      <c r="O130" s="5">
        <v>0</v>
      </c>
      <c r="P130" s="6">
        <v>-3223.47</v>
      </c>
      <c r="Q130" s="5">
        <v>0</v>
      </c>
    </row>
    <row r="131" spans="1:17" x14ac:dyDescent="0.35">
      <c r="A131" s="9">
        <v>44469.699236111112</v>
      </c>
      <c r="B131" s="4" t="s">
        <v>43</v>
      </c>
      <c r="C131" s="6">
        <v>18.61</v>
      </c>
      <c r="D131" s="10">
        <v>1.4600000000000364</v>
      </c>
      <c r="E131" s="6">
        <v>27.169140000000677</v>
      </c>
      <c r="F131" s="11">
        <v>494.9778622</v>
      </c>
      <c r="G131" s="6">
        <v>11.836</v>
      </c>
      <c r="H131" s="6">
        <v>-9.8885800000002462</v>
      </c>
      <c r="I131" s="4">
        <v>1</v>
      </c>
      <c r="J131" s="9">
        <v>44551.441666666666</v>
      </c>
      <c r="K131" s="4">
        <v>9073.0593683590014</v>
      </c>
      <c r="L131" s="4">
        <v>5853.0547506815983</v>
      </c>
      <c r="M131" s="4" t="s">
        <v>9</v>
      </c>
      <c r="N131" s="6">
        <v>3.45</v>
      </c>
      <c r="O131" s="5">
        <v>0</v>
      </c>
      <c r="P131" s="6">
        <v>-3223.47</v>
      </c>
      <c r="Q131" s="5">
        <v>0</v>
      </c>
    </row>
    <row r="132" spans="1:17" x14ac:dyDescent="0.35">
      <c r="A132" s="9">
        <v>44470.606724537036</v>
      </c>
      <c r="B132" s="4" t="s">
        <v>43</v>
      </c>
      <c r="C132" s="6">
        <v>19.84</v>
      </c>
      <c r="D132" s="10">
        <v>0.59999999999996589</v>
      </c>
      <c r="E132" s="6">
        <v>11.903399999999323</v>
      </c>
      <c r="F132" s="11">
        <v>494.9778622</v>
      </c>
      <c r="G132" s="6">
        <v>11.836</v>
      </c>
      <c r="H132" s="6">
        <v>-4.8017999999997265</v>
      </c>
      <c r="I132" s="4">
        <v>1</v>
      </c>
      <c r="J132" s="9">
        <v>44551.441666666666</v>
      </c>
      <c r="K132" s="4">
        <v>9073.0593683590014</v>
      </c>
      <c r="L132" s="4">
        <v>5853.0547506815983</v>
      </c>
      <c r="M132" s="4" t="s">
        <v>9</v>
      </c>
      <c r="N132" s="6">
        <v>3.45</v>
      </c>
      <c r="O132" s="5">
        <v>0</v>
      </c>
      <c r="P132" s="6">
        <v>-3223.47</v>
      </c>
      <c r="Q132" s="5">
        <v>0</v>
      </c>
    </row>
    <row r="133" spans="1:17" x14ac:dyDescent="0.35">
      <c r="A133" s="9">
        <v>44473.85732638889</v>
      </c>
      <c r="B133" s="4" t="s">
        <v>43</v>
      </c>
      <c r="C133" s="6">
        <v>19.309999999999999</v>
      </c>
      <c r="D133" s="10">
        <v>2.1400000000000432</v>
      </c>
      <c r="E133" s="6">
        <v>41.312700000000831</v>
      </c>
      <c r="F133" s="11">
        <v>494.9778622</v>
      </c>
      <c r="G133" s="6">
        <v>11.836</v>
      </c>
      <c r="H133" s="6">
        <v>-15.98366000000032</v>
      </c>
      <c r="I133" s="4">
        <v>1</v>
      </c>
      <c r="J133" s="9">
        <v>44551.441666666666</v>
      </c>
      <c r="K133" s="4">
        <v>9073.0593683590014</v>
      </c>
      <c r="L133" s="4">
        <v>5853.0547506815983</v>
      </c>
      <c r="M133" s="4" t="s">
        <v>9</v>
      </c>
      <c r="N133" s="6">
        <v>3.45</v>
      </c>
      <c r="O133" s="5">
        <v>0</v>
      </c>
      <c r="P133" s="6">
        <v>-3223.47</v>
      </c>
      <c r="Q133" s="5">
        <v>0</v>
      </c>
    </row>
    <row r="134" spans="1:17" x14ac:dyDescent="0.35">
      <c r="A134" s="9">
        <v>44478.706388888888</v>
      </c>
      <c r="B134" s="4" t="s">
        <v>43</v>
      </c>
      <c r="C134" s="6">
        <v>19.53</v>
      </c>
      <c r="D134" s="10">
        <v>3.17999999999995</v>
      </c>
      <c r="E134" s="6">
        <v>62.105399999999022</v>
      </c>
      <c r="F134" s="11">
        <v>494.9778622</v>
      </c>
      <c r="G134" s="6">
        <v>11.836</v>
      </c>
      <c r="H134" s="6">
        <v>-24.466919999999611</v>
      </c>
      <c r="I134" s="4">
        <v>1</v>
      </c>
      <c r="J134" s="9">
        <v>44551.441666666666</v>
      </c>
      <c r="K134" s="4">
        <v>9073.0593683590014</v>
      </c>
      <c r="L134" s="4">
        <v>5853.0547506815983</v>
      </c>
      <c r="M134" s="4" t="s">
        <v>9</v>
      </c>
      <c r="N134" s="6">
        <v>3.45</v>
      </c>
      <c r="O134" s="5">
        <v>0</v>
      </c>
      <c r="P134" s="6">
        <v>-3223.47</v>
      </c>
      <c r="Q134" s="5">
        <v>0</v>
      </c>
    </row>
    <row r="135" spans="1:17" x14ac:dyDescent="0.35">
      <c r="A135" s="9">
        <v>44482.401736111111</v>
      </c>
      <c r="B135" s="4" t="s">
        <v>43</v>
      </c>
      <c r="C135" s="6">
        <v>20.13</v>
      </c>
      <c r="D135" s="10">
        <v>2.6560000000000059</v>
      </c>
      <c r="E135" s="6">
        <v>53.470592000000117</v>
      </c>
      <c r="F135" s="11">
        <v>494.9778622</v>
      </c>
      <c r="G135" s="6">
        <v>11.836</v>
      </c>
      <c r="H135" s="6">
        <v>-22.034176000000045</v>
      </c>
      <c r="I135" s="4">
        <v>1</v>
      </c>
      <c r="J135" s="9">
        <v>44551.441666666666</v>
      </c>
      <c r="K135" s="4">
        <v>9073.0593683590014</v>
      </c>
      <c r="L135" s="4">
        <v>5853.0547506815983</v>
      </c>
      <c r="M135" s="4" t="s">
        <v>9</v>
      </c>
      <c r="N135" s="6">
        <v>3.45</v>
      </c>
      <c r="O135" s="5">
        <v>0</v>
      </c>
      <c r="P135" s="6">
        <v>-3223.47</v>
      </c>
      <c r="Q135" s="5">
        <v>0</v>
      </c>
    </row>
    <row r="136" spans="1:17" x14ac:dyDescent="0.35">
      <c r="A136" s="9">
        <v>44483.553784722222</v>
      </c>
      <c r="B136" s="4" t="s">
        <v>43</v>
      </c>
      <c r="C136" s="6">
        <v>20.03</v>
      </c>
      <c r="D136" s="10">
        <v>0.78399999999999181</v>
      </c>
      <c r="E136" s="6">
        <v>15.704303999999835</v>
      </c>
      <c r="F136" s="11">
        <v>494.9778622</v>
      </c>
      <c r="G136" s="6">
        <v>11.836</v>
      </c>
      <c r="H136" s="6">
        <v>-6.4248799999999324</v>
      </c>
      <c r="I136" s="4">
        <v>1</v>
      </c>
      <c r="J136" s="9">
        <v>44551.441666666666</v>
      </c>
      <c r="K136" s="4">
        <v>9073.0593683590014</v>
      </c>
      <c r="L136" s="4">
        <v>5853.0547506815983</v>
      </c>
      <c r="M136" s="4" t="s">
        <v>9</v>
      </c>
      <c r="N136" s="6">
        <v>3.45</v>
      </c>
      <c r="O136" s="5">
        <v>0</v>
      </c>
      <c r="P136" s="6">
        <v>-3223.47</v>
      </c>
      <c r="Q136" s="5">
        <v>0</v>
      </c>
    </row>
    <row r="137" spans="1:17" x14ac:dyDescent="0.35">
      <c r="A137" s="9">
        <v>44484.392638888887</v>
      </c>
      <c r="B137" s="4" t="s">
        <v>43</v>
      </c>
      <c r="C137" s="6">
        <v>19.52</v>
      </c>
      <c r="D137" s="10">
        <v>0.56000000000000227</v>
      </c>
      <c r="E137" s="6">
        <v>10.930080000000045</v>
      </c>
      <c r="F137" s="11">
        <v>494.9778622</v>
      </c>
      <c r="G137" s="6">
        <v>11.836</v>
      </c>
      <c r="H137" s="6">
        <v>-4.3019200000000177</v>
      </c>
      <c r="I137" s="4">
        <v>1</v>
      </c>
      <c r="J137" s="9">
        <v>44551.441666666666</v>
      </c>
      <c r="K137" s="4">
        <v>9073.0593683590014</v>
      </c>
      <c r="L137" s="4">
        <v>5853.0547506815983</v>
      </c>
      <c r="M137" s="4" t="s">
        <v>9</v>
      </c>
      <c r="N137" s="6">
        <v>3.45</v>
      </c>
      <c r="O137" s="5">
        <v>0</v>
      </c>
      <c r="P137" s="6">
        <v>-3223.47</v>
      </c>
      <c r="Q137" s="5">
        <v>0</v>
      </c>
    </row>
    <row r="138" spans="1:17" x14ac:dyDescent="0.35">
      <c r="A138" s="9">
        <v>44486.59107638889</v>
      </c>
      <c r="B138" s="4" t="s">
        <v>43</v>
      </c>
      <c r="C138" s="6">
        <v>19.600000000000001</v>
      </c>
      <c r="D138" s="10">
        <v>1.5800000000000409</v>
      </c>
      <c r="E138" s="6">
        <v>30.974320000000802</v>
      </c>
      <c r="F138" s="11">
        <v>494.9778622</v>
      </c>
      <c r="G138" s="6">
        <v>11.836</v>
      </c>
      <c r="H138" s="6">
        <v>-12.273440000000317</v>
      </c>
      <c r="I138" s="4">
        <v>1</v>
      </c>
      <c r="J138" s="9">
        <v>44551.441666666666</v>
      </c>
      <c r="K138" s="4">
        <v>9073.0593683590014</v>
      </c>
      <c r="L138" s="4">
        <v>5853.0547506815983</v>
      </c>
      <c r="M138" s="4" t="s">
        <v>9</v>
      </c>
      <c r="N138" s="6">
        <v>3.45</v>
      </c>
      <c r="O138" s="5">
        <v>0</v>
      </c>
      <c r="P138" s="6">
        <v>-3223.47</v>
      </c>
      <c r="Q138" s="5">
        <v>0</v>
      </c>
    </row>
    <row r="139" spans="1:17" x14ac:dyDescent="0.35">
      <c r="A139" s="9">
        <v>44487.722986111112</v>
      </c>
      <c r="B139" s="4" t="s">
        <v>43</v>
      </c>
      <c r="C139" s="6">
        <v>19.77</v>
      </c>
      <c r="D139" s="10">
        <v>0.66699999999997317</v>
      </c>
      <c r="E139" s="6">
        <v>13.18458899999947</v>
      </c>
      <c r="F139" s="11">
        <v>494.9778622</v>
      </c>
      <c r="G139" s="6">
        <v>11.836</v>
      </c>
      <c r="H139" s="6">
        <v>-5.2899769999997872</v>
      </c>
      <c r="I139" s="4">
        <v>1</v>
      </c>
      <c r="J139" s="9">
        <v>44551.441666666666</v>
      </c>
      <c r="K139" s="4">
        <v>9073.0593683590014</v>
      </c>
      <c r="L139" s="4">
        <v>5853.0547506815983</v>
      </c>
      <c r="M139" s="4" t="s">
        <v>9</v>
      </c>
      <c r="N139" s="6">
        <v>3.45</v>
      </c>
      <c r="O139" s="5">
        <v>0</v>
      </c>
      <c r="P139" s="6">
        <v>-3223.47</v>
      </c>
      <c r="Q139" s="5">
        <v>0</v>
      </c>
    </row>
    <row r="140" spans="1:17" x14ac:dyDescent="0.35">
      <c r="A140" s="9">
        <v>44488.500914351855</v>
      </c>
      <c r="B140" s="4" t="s">
        <v>43</v>
      </c>
      <c r="C140" s="6">
        <v>19.88</v>
      </c>
      <c r="D140" s="10">
        <v>0.52300000000002456</v>
      </c>
      <c r="E140" s="6">
        <v>10.396717000000487</v>
      </c>
      <c r="F140" s="11">
        <v>494.9778622</v>
      </c>
      <c r="G140" s="6">
        <v>11.836</v>
      </c>
      <c r="H140" s="6">
        <v>-4.2064890000001967</v>
      </c>
      <c r="I140" s="4">
        <v>1</v>
      </c>
      <c r="J140" s="9">
        <v>44551.441666666666</v>
      </c>
      <c r="K140" s="4">
        <v>9073.0593683590014</v>
      </c>
      <c r="L140" s="4">
        <v>5853.0547506815983</v>
      </c>
      <c r="M140" s="4" t="s">
        <v>9</v>
      </c>
      <c r="N140" s="6">
        <v>3.45</v>
      </c>
      <c r="O140" s="5">
        <v>0</v>
      </c>
      <c r="P140" s="6">
        <v>-3223.47</v>
      </c>
      <c r="Q140" s="5">
        <v>0</v>
      </c>
    </row>
    <row r="141" spans="1:17" x14ac:dyDescent="0.35">
      <c r="A141" s="9">
        <v>44490.434733796297</v>
      </c>
      <c r="B141" s="4" t="s">
        <v>43</v>
      </c>
      <c r="C141" s="6">
        <v>20.18</v>
      </c>
      <c r="D141" s="10">
        <v>1.2799999999999727</v>
      </c>
      <c r="E141" s="6">
        <v>25.823999999999451</v>
      </c>
      <c r="F141" s="11">
        <v>494.9778622</v>
      </c>
      <c r="G141" s="6">
        <v>11.836</v>
      </c>
      <c r="H141" s="6">
        <v>-10.673919999999773</v>
      </c>
      <c r="I141" s="4">
        <v>1</v>
      </c>
      <c r="J141" s="9">
        <v>44551.441666666666</v>
      </c>
      <c r="K141" s="4">
        <v>9073.0593683590014</v>
      </c>
      <c r="L141" s="4">
        <v>5853.0547506815983</v>
      </c>
      <c r="M141" s="4" t="s">
        <v>9</v>
      </c>
      <c r="N141" s="6">
        <v>3.45</v>
      </c>
      <c r="O141" s="5">
        <v>0</v>
      </c>
      <c r="P141" s="6">
        <v>-3223.47</v>
      </c>
      <c r="Q141" s="5">
        <v>0</v>
      </c>
    </row>
    <row r="142" spans="1:17" x14ac:dyDescent="0.35">
      <c r="A142" s="9">
        <v>44493.680706018517</v>
      </c>
      <c r="B142" s="4" t="s">
        <v>43</v>
      </c>
      <c r="C142" s="6">
        <v>19.510000000000002</v>
      </c>
      <c r="D142" s="10">
        <v>2.1999999999999886</v>
      </c>
      <c r="E142" s="6">
        <v>42.910999999999781</v>
      </c>
      <c r="F142" s="11">
        <v>494.9778622</v>
      </c>
      <c r="G142" s="6">
        <v>11.836</v>
      </c>
      <c r="H142" s="6">
        <v>-16.871799999999915</v>
      </c>
      <c r="I142" s="4">
        <v>1</v>
      </c>
      <c r="J142" s="9">
        <v>44551.441666666666</v>
      </c>
      <c r="K142" s="4">
        <v>9073.0593683590014</v>
      </c>
      <c r="L142" s="4">
        <v>5853.0547506815983</v>
      </c>
      <c r="M142" s="4" t="s">
        <v>9</v>
      </c>
      <c r="N142" s="6">
        <v>3.45</v>
      </c>
      <c r="O142" s="5">
        <v>0</v>
      </c>
      <c r="P142" s="6">
        <v>-3223.47</v>
      </c>
      <c r="Q142" s="5">
        <v>0</v>
      </c>
    </row>
    <row r="143" spans="1:17" x14ac:dyDescent="0.35">
      <c r="A143" s="9">
        <v>44494.669351851851</v>
      </c>
      <c r="B143" s="4" t="s">
        <v>43</v>
      </c>
      <c r="C143" s="6">
        <v>19.850000000000001</v>
      </c>
      <c r="D143" s="10">
        <v>0.67000000000001592</v>
      </c>
      <c r="E143" s="6">
        <v>13.300170000000316</v>
      </c>
      <c r="F143" s="11">
        <v>494.9778622</v>
      </c>
      <c r="G143" s="6">
        <v>11.836</v>
      </c>
      <c r="H143" s="6">
        <v>-5.370050000000127</v>
      </c>
      <c r="I143" s="4">
        <v>1</v>
      </c>
      <c r="J143" s="9">
        <v>44551.441666666666</v>
      </c>
      <c r="K143" s="4">
        <v>9073.0593683590014</v>
      </c>
      <c r="L143" s="4">
        <v>5853.0547506815983</v>
      </c>
      <c r="M143" s="4" t="s">
        <v>9</v>
      </c>
      <c r="N143" s="6">
        <v>3.45</v>
      </c>
      <c r="O143" s="5">
        <v>0</v>
      </c>
      <c r="P143" s="6">
        <v>-3223.47</v>
      </c>
      <c r="Q143" s="5">
        <v>0</v>
      </c>
    </row>
    <row r="144" spans="1:17" x14ac:dyDescent="0.35">
      <c r="A144" s="9">
        <v>44497.331759259258</v>
      </c>
      <c r="B144" s="4" t="s">
        <v>43</v>
      </c>
      <c r="C144" s="6">
        <v>18.32</v>
      </c>
      <c r="D144" s="10">
        <v>1.8299999999999841</v>
      </c>
      <c r="E144" s="6">
        <v>33.531089999999708</v>
      </c>
      <c r="F144" s="11">
        <v>494.9778622</v>
      </c>
      <c r="G144" s="6">
        <v>11.836</v>
      </c>
      <c r="H144" s="6">
        <v>-11.871209999999895</v>
      </c>
      <c r="I144" s="4">
        <v>1</v>
      </c>
      <c r="J144" s="9">
        <v>44551.441666666666</v>
      </c>
      <c r="K144" s="4">
        <v>9073.0593683590014</v>
      </c>
      <c r="L144" s="4">
        <v>5853.0547506815983</v>
      </c>
      <c r="M144" s="4" t="s">
        <v>9</v>
      </c>
      <c r="N144" s="6">
        <v>3.45</v>
      </c>
      <c r="O144" s="5">
        <v>0</v>
      </c>
      <c r="P144" s="6">
        <v>-3223.47</v>
      </c>
      <c r="Q144" s="5">
        <v>0</v>
      </c>
    </row>
    <row r="145" spans="1:17" x14ac:dyDescent="0.35">
      <c r="A145" s="9">
        <v>44499.546597222223</v>
      </c>
      <c r="B145" s="4" t="s">
        <v>43</v>
      </c>
      <c r="C145" s="6">
        <v>17.88</v>
      </c>
      <c r="D145" s="10">
        <v>1.5</v>
      </c>
      <c r="E145" s="6">
        <v>26.82</v>
      </c>
      <c r="F145" s="11">
        <v>494.9778622</v>
      </c>
      <c r="G145" s="6">
        <v>11.836</v>
      </c>
      <c r="H145" s="6">
        <v>-9.0659999999999989</v>
      </c>
      <c r="I145" s="4">
        <v>1</v>
      </c>
      <c r="J145" s="9">
        <v>44551.441666666666</v>
      </c>
      <c r="K145" s="4">
        <v>9073.0593683590014</v>
      </c>
      <c r="L145" s="4">
        <v>5853.0547506815983</v>
      </c>
      <c r="M145" s="4" t="s">
        <v>9</v>
      </c>
      <c r="N145" s="6">
        <v>3.45</v>
      </c>
      <c r="O145" s="5">
        <v>0</v>
      </c>
      <c r="P145" s="6">
        <v>-3223.47</v>
      </c>
      <c r="Q145" s="5">
        <v>0</v>
      </c>
    </row>
    <row r="146" spans="1:17" x14ac:dyDescent="0.35">
      <c r="A146" s="9">
        <v>44500.579039351855</v>
      </c>
      <c r="B146" s="4" t="s">
        <v>43</v>
      </c>
      <c r="C146" s="6">
        <v>17.37</v>
      </c>
      <c r="D146" s="10">
        <v>0.72000000000002728</v>
      </c>
      <c r="E146" s="6">
        <v>12.509280000000475</v>
      </c>
      <c r="F146" s="11">
        <v>494.9778622</v>
      </c>
      <c r="G146" s="6">
        <v>11.836</v>
      </c>
      <c r="H146" s="6">
        <v>-3.9873600000001517</v>
      </c>
      <c r="I146" s="4">
        <v>1</v>
      </c>
      <c r="J146" s="9">
        <v>44551.441666666666</v>
      </c>
      <c r="K146" s="4">
        <v>9073.0593683590014</v>
      </c>
      <c r="L146" s="4">
        <v>5853.0547506815983</v>
      </c>
      <c r="M146" s="4" t="s">
        <v>9</v>
      </c>
      <c r="N146" s="6">
        <v>3.45</v>
      </c>
      <c r="O146" s="5">
        <v>0</v>
      </c>
      <c r="P146" s="6">
        <v>-3223.47</v>
      </c>
      <c r="Q146" s="5">
        <v>0</v>
      </c>
    </row>
    <row r="147" spans="1:17" x14ac:dyDescent="0.35">
      <c r="A147" s="9">
        <v>44501.481076388889</v>
      </c>
      <c r="B147" s="4" t="s">
        <v>43</v>
      </c>
      <c r="C147" s="6">
        <v>18.13</v>
      </c>
      <c r="D147" s="10">
        <v>0.60500000000001819</v>
      </c>
      <c r="E147" s="6">
        <v>10.970465000000329</v>
      </c>
      <c r="F147" s="11">
        <v>494.9778622</v>
      </c>
      <c r="G147" s="6">
        <v>11.836</v>
      </c>
      <c r="H147" s="6">
        <v>-3.8096850000001137</v>
      </c>
      <c r="I147" s="4">
        <v>1</v>
      </c>
      <c r="J147" s="9">
        <v>44551.441666666666</v>
      </c>
      <c r="K147" s="4">
        <v>9073.0593683590014</v>
      </c>
      <c r="L147" s="4">
        <v>5853.0547506815983</v>
      </c>
      <c r="M147" s="4" t="s">
        <v>9</v>
      </c>
      <c r="N147" s="6">
        <v>3.45</v>
      </c>
      <c r="O147" s="5">
        <v>0</v>
      </c>
      <c r="P147" s="6">
        <v>-3223.47</v>
      </c>
      <c r="Q147" s="5">
        <v>0</v>
      </c>
    </row>
    <row r="148" spans="1:17" x14ac:dyDescent="0.35">
      <c r="A148" s="9">
        <v>44504.550532407404</v>
      </c>
      <c r="B148" s="4" t="s">
        <v>43</v>
      </c>
      <c r="C148" s="6">
        <v>18.690000000000001</v>
      </c>
      <c r="D148" s="10">
        <v>2.0449999999999591</v>
      </c>
      <c r="E148" s="6">
        <v>38.219004999999235</v>
      </c>
      <c r="F148" s="11">
        <v>494.9778622</v>
      </c>
      <c r="G148" s="6">
        <v>11.836</v>
      </c>
      <c r="H148" s="6">
        <v>-14.01438499999972</v>
      </c>
      <c r="I148" s="4">
        <v>1</v>
      </c>
      <c r="J148" s="9">
        <v>44551.441666666666</v>
      </c>
      <c r="K148" s="4">
        <v>9073.0593683590014</v>
      </c>
      <c r="L148" s="4">
        <v>5853.0547506815983</v>
      </c>
      <c r="M148" s="4" t="s">
        <v>9</v>
      </c>
      <c r="N148" s="6">
        <v>3.45</v>
      </c>
      <c r="O148" s="5">
        <v>0</v>
      </c>
      <c r="P148" s="6">
        <v>-3223.47</v>
      </c>
      <c r="Q148" s="5">
        <v>0</v>
      </c>
    </row>
    <row r="149" spans="1:17" x14ac:dyDescent="0.35">
      <c r="A149" s="9">
        <v>44505.590532407405</v>
      </c>
      <c r="B149" s="4" t="s">
        <v>43</v>
      </c>
      <c r="C149" s="6">
        <v>19.59</v>
      </c>
      <c r="D149" s="10">
        <v>0.71000000000003638</v>
      </c>
      <c r="E149" s="6">
        <v>13.911030000000713</v>
      </c>
      <c r="F149" s="11">
        <v>494.9778622</v>
      </c>
      <c r="G149" s="6">
        <v>11.836</v>
      </c>
      <c r="H149" s="6">
        <v>-5.5074700000002821</v>
      </c>
      <c r="I149" s="4">
        <v>1</v>
      </c>
      <c r="J149" s="9">
        <v>44551.441666666666</v>
      </c>
      <c r="K149" s="4">
        <v>9073.0593683590014</v>
      </c>
      <c r="L149" s="4">
        <v>5853.0547506815983</v>
      </c>
      <c r="M149" s="4" t="s">
        <v>9</v>
      </c>
      <c r="N149" s="6">
        <v>3.45</v>
      </c>
      <c r="O149" s="5">
        <v>0</v>
      </c>
      <c r="P149" s="6">
        <v>-3223.47</v>
      </c>
      <c r="Q149" s="5">
        <v>0</v>
      </c>
    </row>
    <row r="150" spans="1:17" x14ac:dyDescent="0.35">
      <c r="A150" s="9">
        <v>44506.579652777778</v>
      </c>
      <c r="B150" s="4" t="s">
        <v>43</v>
      </c>
      <c r="C150" s="6">
        <v>18.79</v>
      </c>
      <c r="D150" s="10">
        <v>0.66999999999995907</v>
      </c>
      <c r="E150" s="6">
        <v>12.585949999999231</v>
      </c>
      <c r="F150" s="11">
        <v>494.9778622</v>
      </c>
      <c r="G150" s="6">
        <v>11.836</v>
      </c>
      <c r="H150" s="6">
        <v>-4.6558299999997157</v>
      </c>
      <c r="I150" s="4">
        <v>1</v>
      </c>
      <c r="J150" s="9">
        <v>44551.441666666666</v>
      </c>
      <c r="K150" s="4">
        <v>9073.0593683590014</v>
      </c>
      <c r="L150" s="4">
        <v>5853.0547506815983</v>
      </c>
      <c r="M150" s="4" t="s">
        <v>9</v>
      </c>
      <c r="N150" s="6">
        <v>3.45</v>
      </c>
      <c r="O150" s="5">
        <v>0</v>
      </c>
      <c r="P150" s="6">
        <v>-3223.47</v>
      </c>
      <c r="Q150" s="5">
        <v>0</v>
      </c>
    </row>
    <row r="151" spans="1:17" x14ac:dyDescent="0.35">
      <c r="A151" s="9">
        <v>44507.497476851851</v>
      </c>
      <c r="B151" s="4" t="s">
        <v>43</v>
      </c>
      <c r="C151" s="6">
        <v>20.309999999999999</v>
      </c>
      <c r="D151" s="10">
        <v>0.67300000000000182</v>
      </c>
      <c r="E151" s="6">
        <v>13.668630000000038</v>
      </c>
      <c r="F151" s="11">
        <v>494.9778622</v>
      </c>
      <c r="G151" s="6">
        <v>11.836</v>
      </c>
      <c r="H151" s="6">
        <v>-5.7030020000000157</v>
      </c>
      <c r="I151" s="4">
        <v>1</v>
      </c>
      <c r="J151" s="9">
        <v>44551.441666666666</v>
      </c>
      <c r="K151" s="4">
        <v>9073.0593683590014</v>
      </c>
      <c r="L151" s="4">
        <v>5853.0547506815983</v>
      </c>
      <c r="M151" s="4" t="s">
        <v>9</v>
      </c>
      <c r="N151" s="6">
        <v>3.45</v>
      </c>
      <c r="O151" s="5">
        <v>0</v>
      </c>
      <c r="P151" s="6">
        <v>-3223.47</v>
      </c>
      <c r="Q151" s="5">
        <v>0</v>
      </c>
    </row>
    <row r="152" spans="1:17" x14ac:dyDescent="0.35">
      <c r="A152" s="9">
        <v>44508.867256944446</v>
      </c>
      <c r="B152" s="4" t="s">
        <v>43</v>
      </c>
      <c r="C152" s="6">
        <v>20.03</v>
      </c>
      <c r="D152" s="10">
        <v>0.93700000000001182</v>
      </c>
      <c r="E152" s="6">
        <v>18.763425000000236</v>
      </c>
      <c r="F152" s="11">
        <v>494.9778622</v>
      </c>
      <c r="G152" s="6">
        <v>11.836</v>
      </c>
      <c r="H152" s="6">
        <v>-7.6730930000000956</v>
      </c>
      <c r="I152" s="4">
        <v>1</v>
      </c>
      <c r="J152" s="9">
        <v>44551.441666666666</v>
      </c>
      <c r="K152" s="4">
        <v>9073.0593683590014</v>
      </c>
      <c r="L152" s="4">
        <v>5853.0547506815983</v>
      </c>
      <c r="M152" s="4" t="s">
        <v>9</v>
      </c>
      <c r="N152" s="6">
        <v>3.45</v>
      </c>
      <c r="O152" s="5">
        <v>0</v>
      </c>
      <c r="P152" s="6">
        <v>-3223.47</v>
      </c>
      <c r="Q152" s="5">
        <v>0</v>
      </c>
    </row>
    <row r="153" spans="1:17" x14ac:dyDescent="0.35">
      <c r="A153" s="9">
        <v>44509.784259259257</v>
      </c>
      <c r="B153" s="4" t="s">
        <v>43</v>
      </c>
      <c r="C153" s="6">
        <v>19.75</v>
      </c>
      <c r="D153" s="10">
        <v>0.62999999999999545</v>
      </c>
      <c r="E153" s="6">
        <v>12.44123999999991</v>
      </c>
      <c r="F153" s="11">
        <v>494.9778622</v>
      </c>
      <c r="G153" s="6">
        <v>11.836</v>
      </c>
      <c r="H153" s="6">
        <v>-4.9845599999999637</v>
      </c>
      <c r="I153" s="4">
        <v>1</v>
      </c>
      <c r="J153" s="9">
        <v>44551.441666666666</v>
      </c>
      <c r="K153" s="4">
        <v>9073.0593683590014</v>
      </c>
      <c r="L153" s="4">
        <v>5853.0547506815983</v>
      </c>
      <c r="M153" s="4" t="s">
        <v>9</v>
      </c>
      <c r="N153" s="6">
        <v>3.45</v>
      </c>
      <c r="O153" s="5">
        <v>0</v>
      </c>
      <c r="P153" s="6">
        <v>-3223.47</v>
      </c>
      <c r="Q153" s="5">
        <v>0</v>
      </c>
    </row>
    <row r="154" spans="1:17" x14ac:dyDescent="0.35">
      <c r="A154" s="9">
        <v>44511.590486111112</v>
      </c>
      <c r="B154" s="4" t="s">
        <v>43</v>
      </c>
      <c r="C154" s="6">
        <v>18.89</v>
      </c>
      <c r="D154" s="10">
        <v>1.2100000000000364</v>
      </c>
      <c r="E154" s="6">
        <v>22.858110000000686</v>
      </c>
      <c r="F154" s="11">
        <v>494.9778622</v>
      </c>
      <c r="G154" s="6">
        <v>11.836</v>
      </c>
      <c r="H154" s="6">
        <v>-8.5365500000002541</v>
      </c>
      <c r="I154" s="4">
        <v>1</v>
      </c>
      <c r="J154" s="9">
        <v>44551.441666666666</v>
      </c>
      <c r="K154" s="4">
        <v>9073.0593683590014</v>
      </c>
      <c r="L154" s="4">
        <v>5853.0547506815983</v>
      </c>
      <c r="M154" s="4" t="s">
        <v>9</v>
      </c>
      <c r="N154" s="6">
        <v>3.45</v>
      </c>
      <c r="O154" s="5">
        <v>0</v>
      </c>
      <c r="P154" s="6">
        <v>-3223.47</v>
      </c>
      <c r="Q154" s="5">
        <v>0</v>
      </c>
    </row>
    <row r="155" spans="1:17" x14ac:dyDescent="0.35">
      <c r="A155" s="9">
        <v>44512.699745370373</v>
      </c>
      <c r="B155" s="4" t="s">
        <v>43</v>
      </c>
      <c r="C155" s="6">
        <v>18.37</v>
      </c>
      <c r="D155" s="10">
        <v>0.74500000000000455</v>
      </c>
      <c r="E155" s="6">
        <v>13.684160000000084</v>
      </c>
      <c r="F155" s="11">
        <v>494.9778622</v>
      </c>
      <c r="G155" s="6">
        <v>11.836</v>
      </c>
      <c r="H155" s="6">
        <v>-4.8663400000000294</v>
      </c>
      <c r="I155" s="4">
        <v>1</v>
      </c>
      <c r="J155" s="9">
        <v>44551.441666666666</v>
      </c>
      <c r="K155" s="4">
        <v>9073.0593683590014</v>
      </c>
      <c r="L155" s="4">
        <v>5853.0547506815983</v>
      </c>
      <c r="M155" s="4" t="s">
        <v>9</v>
      </c>
      <c r="N155" s="6">
        <v>3.45</v>
      </c>
      <c r="O155" s="5">
        <v>0</v>
      </c>
      <c r="P155" s="6">
        <v>-3223.47</v>
      </c>
      <c r="Q155" s="5">
        <v>0</v>
      </c>
    </row>
    <row r="156" spans="1:17" x14ac:dyDescent="0.35">
      <c r="A156" s="9">
        <v>44513.646620370368</v>
      </c>
      <c r="B156" s="4" t="s">
        <v>43</v>
      </c>
      <c r="C156" s="6">
        <v>18.48</v>
      </c>
      <c r="D156" s="10">
        <v>0.63499999999999091</v>
      </c>
      <c r="E156" s="6">
        <v>11.732894999999832</v>
      </c>
      <c r="F156" s="11">
        <v>494.9778622</v>
      </c>
      <c r="G156" s="6">
        <v>11.836</v>
      </c>
      <c r="H156" s="6">
        <v>-4.2170349999999397</v>
      </c>
      <c r="I156" s="4">
        <v>1</v>
      </c>
      <c r="J156" s="9">
        <v>44551.441666666666</v>
      </c>
      <c r="K156" s="4">
        <v>9073.0593683590014</v>
      </c>
      <c r="L156" s="4">
        <v>5853.0547506815983</v>
      </c>
      <c r="M156" s="4" t="s">
        <v>9</v>
      </c>
      <c r="N156" s="6">
        <v>3.45</v>
      </c>
      <c r="O156" s="5">
        <v>0</v>
      </c>
      <c r="P156" s="6">
        <v>-3223.47</v>
      </c>
      <c r="Q156" s="5">
        <v>0</v>
      </c>
    </row>
    <row r="157" spans="1:17" x14ac:dyDescent="0.35">
      <c r="A157" s="9">
        <v>44515.792407407411</v>
      </c>
      <c r="B157" s="4" t="s">
        <v>43</v>
      </c>
      <c r="C157" s="6">
        <v>18.46</v>
      </c>
      <c r="D157" s="10">
        <v>2.0199999999999818</v>
      </c>
      <c r="E157" s="6">
        <v>37.291219999999662</v>
      </c>
      <c r="F157" s="11">
        <v>494.9778622</v>
      </c>
      <c r="G157" s="6">
        <v>11.836</v>
      </c>
      <c r="H157" s="6">
        <v>-13.382499999999876</v>
      </c>
      <c r="I157" s="4">
        <v>1</v>
      </c>
      <c r="J157" s="9">
        <v>44551.441666666666</v>
      </c>
      <c r="K157" s="4">
        <v>9073.0593683590014</v>
      </c>
      <c r="L157" s="4">
        <v>5853.0547506815983</v>
      </c>
      <c r="M157" s="4" t="s">
        <v>9</v>
      </c>
      <c r="N157" s="6">
        <v>3.45</v>
      </c>
      <c r="O157" s="5">
        <v>0</v>
      </c>
      <c r="P157" s="6">
        <v>-3223.47</v>
      </c>
      <c r="Q157" s="5">
        <v>0</v>
      </c>
    </row>
    <row r="158" spans="1:17" x14ac:dyDescent="0.35">
      <c r="A158" s="9">
        <v>44516.622534722221</v>
      </c>
      <c r="B158" s="4" t="s">
        <v>43</v>
      </c>
      <c r="C158" s="6">
        <v>16.84</v>
      </c>
      <c r="D158" s="10">
        <v>0.01</v>
      </c>
      <c r="E158" s="6">
        <v>0.16835</v>
      </c>
      <c r="F158" s="11">
        <v>494.9778622</v>
      </c>
      <c r="G158" s="6">
        <v>11.836</v>
      </c>
      <c r="H158" s="6">
        <v>-4.9989999999999993E-2</v>
      </c>
      <c r="I158" s="4">
        <v>1</v>
      </c>
      <c r="J158" s="9">
        <v>44551.441666666666</v>
      </c>
      <c r="K158" s="4">
        <v>9073.0593683590014</v>
      </c>
      <c r="L158" s="4">
        <v>5853.0547506815983</v>
      </c>
      <c r="M158" s="4" t="s">
        <v>9</v>
      </c>
      <c r="N158" s="6">
        <v>3.45</v>
      </c>
      <c r="O158" s="5">
        <v>0</v>
      </c>
      <c r="P158" s="6">
        <v>-3223.47</v>
      </c>
      <c r="Q158" s="5">
        <v>0</v>
      </c>
    </row>
    <row r="159" spans="1:17" x14ac:dyDescent="0.35">
      <c r="A159" s="9">
        <v>44517.480949074074</v>
      </c>
      <c r="B159" s="4" t="s">
        <v>43</v>
      </c>
      <c r="C159" s="6">
        <v>16.36</v>
      </c>
      <c r="D159" s="10">
        <v>0.57709999999997308</v>
      </c>
      <c r="E159" s="6">
        <v>9.4425101999995587</v>
      </c>
      <c r="F159" s="11">
        <v>494.9778622</v>
      </c>
      <c r="G159" s="6">
        <v>11.836</v>
      </c>
      <c r="H159" s="6">
        <v>-2.6119545999998772</v>
      </c>
      <c r="I159" s="4">
        <v>1</v>
      </c>
      <c r="J159" s="9">
        <v>44551.441666666666</v>
      </c>
      <c r="K159" s="4">
        <v>9073.0593683590014</v>
      </c>
      <c r="L159" s="4">
        <v>5853.0547506815983</v>
      </c>
      <c r="M159" s="4" t="s">
        <v>9</v>
      </c>
      <c r="N159" s="6">
        <v>3.45</v>
      </c>
      <c r="O159" s="5">
        <v>0</v>
      </c>
      <c r="P159" s="6">
        <v>-3223.47</v>
      </c>
      <c r="Q159" s="5">
        <v>0</v>
      </c>
    </row>
    <row r="160" spans="1:17" x14ac:dyDescent="0.35">
      <c r="A160" s="9">
        <v>44518.979907407411</v>
      </c>
      <c r="B160" s="4" t="s">
        <v>43</v>
      </c>
      <c r="C160" s="6">
        <v>14.77</v>
      </c>
      <c r="D160" s="10">
        <v>1.0328999999999837</v>
      </c>
      <c r="E160" s="6">
        <v>15.254900099999759</v>
      </c>
      <c r="F160" s="11">
        <v>494.9778622</v>
      </c>
      <c r="G160" s="6">
        <v>11.836</v>
      </c>
      <c r="H160" s="6">
        <v>-3.0294956999999521</v>
      </c>
      <c r="I160" s="4">
        <v>1</v>
      </c>
      <c r="J160" s="9">
        <v>44551.441666666666</v>
      </c>
      <c r="K160" s="4">
        <v>9073.0593683590014</v>
      </c>
      <c r="L160" s="4">
        <v>5853.0547506815983</v>
      </c>
      <c r="M160" s="4" t="s">
        <v>9</v>
      </c>
      <c r="N160" s="6">
        <v>3.45</v>
      </c>
      <c r="O160" s="5">
        <v>0</v>
      </c>
      <c r="P160" s="6">
        <v>-3223.47</v>
      </c>
      <c r="Q160" s="5">
        <v>0</v>
      </c>
    </row>
    <row r="161" spans="1:17" x14ac:dyDescent="0.35">
      <c r="A161" s="9">
        <v>44521.805011574077</v>
      </c>
      <c r="B161" s="4" t="s">
        <v>43</v>
      </c>
      <c r="C161" s="6">
        <v>15.01</v>
      </c>
      <c r="D161" s="10">
        <v>1.9830000000000041</v>
      </c>
      <c r="E161" s="6">
        <v>29.768796000000062</v>
      </c>
      <c r="F161" s="11">
        <v>494.9778622</v>
      </c>
      <c r="G161" s="6">
        <v>11.836</v>
      </c>
      <c r="H161" s="6">
        <v>-6.2980080000000136</v>
      </c>
      <c r="I161" s="4">
        <v>1</v>
      </c>
      <c r="J161" s="9">
        <v>44551.441666666666</v>
      </c>
      <c r="K161" s="4">
        <v>9073.0593683590014</v>
      </c>
      <c r="L161" s="4">
        <v>5853.0547506815983</v>
      </c>
      <c r="M161" s="4" t="s">
        <v>9</v>
      </c>
      <c r="N161" s="6">
        <v>3.45</v>
      </c>
      <c r="O161" s="5">
        <v>0</v>
      </c>
      <c r="P161" s="6">
        <v>-3223.47</v>
      </c>
      <c r="Q161" s="5">
        <v>0</v>
      </c>
    </row>
    <row r="162" spans="1:17" x14ac:dyDescent="0.35">
      <c r="A162" s="9">
        <v>44522.522453703707</v>
      </c>
      <c r="B162" s="4" t="s">
        <v>43</v>
      </c>
      <c r="C162" s="6">
        <v>15.31</v>
      </c>
      <c r="D162" s="10">
        <v>0.51600000000001955</v>
      </c>
      <c r="E162" s="6">
        <v>7.8978960000002996</v>
      </c>
      <c r="F162" s="11">
        <v>494.9778622</v>
      </c>
      <c r="G162" s="6">
        <v>11.836</v>
      </c>
      <c r="H162" s="6">
        <v>-1.7905200000000683</v>
      </c>
      <c r="I162" s="4">
        <v>1</v>
      </c>
      <c r="J162" s="9">
        <v>44551.441666666666</v>
      </c>
      <c r="K162" s="4">
        <v>9073.0593683590014</v>
      </c>
      <c r="L162" s="4">
        <v>5853.0547506815983</v>
      </c>
      <c r="M162" s="4" t="s">
        <v>9</v>
      </c>
      <c r="N162" s="6">
        <v>3.45</v>
      </c>
      <c r="O162" s="5">
        <v>0</v>
      </c>
      <c r="P162" s="6">
        <v>-3223.47</v>
      </c>
      <c r="Q162" s="5">
        <v>0</v>
      </c>
    </row>
    <row r="163" spans="1:17" x14ac:dyDescent="0.35">
      <c r="A163" s="9">
        <v>44523.336562500001</v>
      </c>
      <c r="B163" s="4" t="s">
        <v>43</v>
      </c>
      <c r="C163" s="6">
        <v>14.94</v>
      </c>
      <c r="D163" s="10">
        <v>0.58100000000001728</v>
      </c>
      <c r="E163" s="6">
        <v>8.6824640000002589</v>
      </c>
      <c r="F163" s="11">
        <v>494.9778622</v>
      </c>
      <c r="G163" s="6">
        <v>11.836</v>
      </c>
      <c r="H163" s="6">
        <v>-1.8057480000000545</v>
      </c>
      <c r="I163" s="4">
        <v>1</v>
      </c>
      <c r="J163" s="9">
        <v>44551.441666666666</v>
      </c>
      <c r="K163" s="4">
        <v>9073.0593683590014</v>
      </c>
      <c r="L163" s="4">
        <v>5853.0547506815983</v>
      </c>
      <c r="M163" s="4" t="s">
        <v>9</v>
      </c>
      <c r="N163" s="6">
        <v>3.45</v>
      </c>
      <c r="O163" s="5">
        <v>0</v>
      </c>
      <c r="P163" s="6">
        <v>-3223.47</v>
      </c>
      <c r="Q163" s="5">
        <v>0</v>
      </c>
    </row>
    <row r="164" spans="1:17" x14ac:dyDescent="0.35">
      <c r="A164" s="9">
        <v>44523.803252314814</v>
      </c>
      <c r="B164" s="4" t="s">
        <v>43</v>
      </c>
      <c r="C164" s="6">
        <v>14.78</v>
      </c>
      <c r="D164" s="10">
        <v>0.32999999999998408</v>
      </c>
      <c r="E164" s="6">
        <v>4.8780599999997651</v>
      </c>
      <c r="F164" s="11">
        <v>494.9778622</v>
      </c>
      <c r="G164" s="6">
        <v>11.836</v>
      </c>
      <c r="H164" s="6">
        <v>-0.97217999999995364</v>
      </c>
      <c r="I164" s="4">
        <v>1</v>
      </c>
      <c r="J164" s="9">
        <v>44551.441666666666</v>
      </c>
      <c r="K164" s="4">
        <v>9073.0593683590014</v>
      </c>
      <c r="L164" s="4">
        <v>5853.0547506815983</v>
      </c>
      <c r="M164" s="4" t="s">
        <v>9</v>
      </c>
      <c r="N164" s="6">
        <v>3.45</v>
      </c>
      <c r="O164" s="5">
        <v>0</v>
      </c>
      <c r="P164" s="6">
        <v>-3223.47</v>
      </c>
      <c r="Q164" s="5">
        <v>0</v>
      </c>
    </row>
    <row r="165" spans="1:17" x14ac:dyDescent="0.35">
      <c r="A165" s="9">
        <v>44524.559120370373</v>
      </c>
      <c r="B165" s="4" t="s">
        <v>43</v>
      </c>
      <c r="C165" s="6">
        <v>13.76</v>
      </c>
      <c r="D165" s="10">
        <v>0.55200000000002092</v>
      </c>
      <c r="E165" s="6">
        <v>7.5955200000002883</v>
      </c>
      <c r="F165" s="11">
        <v>494.9778622</v>
      </c>
      <c r="G165" s="6">
        <v>11.836</v>
      </c>
      <c r="H165" s="6">
        <v>-1.0620480000000407</v>
      </c>
      <c r="I165" s="4">
        <v>1</v>
      </c>
      <c r="J165" s="9">
        <v>44551.441666666666</v>
      </c>
      <c r="K165" s="4">
        <v>9073.0593683590014</v>
      </c>
      <c r="L165" s="4">
        <v>5853.0547506815983</v>
      </c>
      <c r="M165" s="4" t="s">
        <v>9</v>
      </c>
      <c r="N165" s="6">
        <v>3.45</v>
      </c>
      <c r="O165" s="5">
        <v>0</v>
      </c>
      <c r="P165" s="6">
        <v>-3223.47</v>
      </c>
      <c r="Q165" s="5">
        <v>0</v>
      </c>
    </row>
    <row r="166" spans="1:17" x14ac:dyDescent="0.35">
      <c r="A166" s="9">
        <v>44525.59815972222</v>
      </c>
      <c r="B166" s="4" t="s">
        <v>43</v>
      </c>
      <c r="C166" s="6">
        <v>14.57</v>
      </c>
      <c r="D166" s="10">
        <v>0.7279999999999518</v>
      </c>
      <c r="E166" s="6">
        <v>10.606959999999297</v>
      </c>
      <c r="F166" s="11">
        <v>494.9778622</v>
      </c>
      <c r="G166" s="6">
        <v>11.836</v>
      </c>
      <c r="H166" s="6">
        <v>-1.9903519999998682</v>
      </c>
      <c r="I166" s="4">
        <v>1</v>
      </c>
      <c r="J166" s="9">
        <v>44551.441666666666</v>
      </c>
      <c r="K166" s="4">
        <v>9073.0593683590014</v>
      </c>
      <c r="L166" s="4">
        <v>5853.0547506815983</v>
      </c>
      <c r="M166" s="4" t="s">
        <v>9</v>
      </c>
      <c r="N166" s="6">
        <v>3.45</v>
      </c>
      <c r="O166" s="5">
        <v>0</v>
      </c>
      <c r="P166" s="6">
        <v>-3223.47</v>
      </c>
      <c r="Q166" s="5">
        <v>0</v>
      </c>
    </row>
    <row r="167" spans="1:17" x14ac:dyDescent="0.35">
      <c r="A167" s="9">
        <v>44526.47828703704</v>
      </c>
      <c r="B167" s="4" t="s">
        <v>43</v>
      </c>
      <c r="C167" s="6">
        <v>12.87</v>
      </c>
      <c r="D167" s="10">
        <v>0.60000000000002274</v>
      </c>
      <c r="E167" s="6">
        <v>7.7220000000002926</v>
      </c>
      <c r="F167" s="11">
        <v>494.9778622</v>
      </c>
      <c r="G167" s="6">
        <v>11.836</v>
      </c>
      <c r="H167" s="6">
        <v>-0.62040000000002316</v>
      </c>
      <c r="I167" s="4">
        <v>1</v>
      </c>
      <c r="J167" s="9">
        <v>44551.441666666666</v>
      </c>
      <c r="K167" s="4">
        <v>9073.0593683590014</v>
      </c>
      <c r="L167" s="4">
        <v>5853.0547506815983</v>
      </c>
      <c r="M167" s="4" t="s">
        <v>9</v>
      </c>
      <c r="N167" s="6">
        <v>3.45</v>
      </c>
      <c r="O167" s="5">
        <v>0</v>
      </c>
      <c r="P167" s="6">
        <v>-3223.47</v>
      </c>
      <c r="Q167" s="5">
        <v>0</v>
      </c>
    </row>
    <row r="168" spans="1:17" x14ac:dyDescent="0.35">
      <c r="A168" s="9">
        <v>44527.618483796294</v>
      </c>
      <c r="B168" s="4" t="s">
        <v>43</v>
      </c>
      <c r="C168" s="6">
        <v>13.4</v>
      </c>
      <c r="D168" s="10">
        <v>0.76999999999998181</v>
      </c>
      <c r="E168" s="6">
        <v>10.319539999999757</v>
      </c>
      <c r="F168" s="11">
        <v>494.9778622</v>
      </c>
      <c r="G168" s="6">
        <v>11.836</v>
      </c>
      <c r="H168" s="6">
        <v>-1.2058199999999708</v>
      </c>
      <c r="I168" s="4">
        <v>1</v>
      </c>
      <c r="J168" s="9">
        <v>44551.441666666666</v>
      </c>
      <c r="K168" s="4">
        <v>9073.0593683590014</v>
      </c>
      <c r="L168" s="4">
        <v>5853.0547506815983</v>
      </c>
      <c r="M168" s="4" t="s">
        <v>9</v>
      </c>
      <c r="N168" s="6">
        <v>3.45</v>
      </c>
      <c r="O168" s="5">
        <v>0</v>
      </c>
      <c r="P168" s="6">
        <v>-3223.47</v>
      </c>
      <c r="Q168" s="5">
        <v>0</v>
      </c>
    </row>
    <row r="169" spans="1:17" x14ac:dyDescent="0.35">
      <c r="A169" s="9">
        <v>44528.966481481482</v>
      </c>
      <c r="B169" s="4" t="s">
        <v>43</v>
      </c>
      <c r="C169" s="6">
        <v>13.54</v>
      </c>
      <c r="D169" s="10">
        <v>1</v>
      </c>
      <c r="E169" s="6">
        <v>13.542999999999999</v>
      </c>
      <c r="F169" s="11">
        <v>494.9778622</v>
      </c>
      <c r="G169" s="6">
        <v>11.836</v>
      </c>
      <c r="H169" s="6">
        <v>-1.706999999999999</v>
      </c>
      <c r="I169" s="4">
        <v>1</v>
      </c>
      <c r="J169" s="9">
        <v>44551.441666666666</v>
      </c>
      <c r="K169" s="4">
        <v>9073.0593683590014</v>
      </c>
      <c r="L169" s="4">
        <v>5853.0547506815983</v>
      </c>
      <c r="M169" s="4" t="s">
        <v>9</v>
      </c>
      <c r="N169" s="6">
        <v>3.45</v>
      </c>
      <c r="O169" s="5">
        <v>0</v>
      </c>
      <c r="P169" s="6">
        <v>-3223.47</v>
      </c>
      <c r="Q169" s="5">
        <v>0</v>
      </c>
    </row>
    <row r="170" spans="1:17" x14ac:dyDescent="0.35">
      <c r="A170" s="9">
        <v>44529.400439814817</v>
      </c>
      <c r="B170" s="4" t="s">
        <v>43</v>
      </c>
      <c r="C170" s="6">
        <v>14.35</v>
      </c>
      <c r="D170" s="10">
        <v>0.29000000000002046</v>
      </c>
      <c r="E170" s="6">
        <v>4.1615000000002933</v>
      </c>
      <c r="F170" s="11">
        <v>494.9778622</v>
      </c>
      <c r="G170" s="6">
        <v>11.836</v>
      </c>
      <c r="H170" s="6">
        <v>-0.72906000000005111</v>
      </c>
      <c r="I170" s="4">
        <v>1</v>
      </c>
      <c r="J170" s="9">
        <v>44551.441666666666</v>
      </c>
      <c r="K170" s="4">
        <v>9073.0593683590014</v>
      </c>
      <c r="L170" s="4">
        <v>5853.0547506815983</v>
      </c>
      <c r="M170" s="4" t="s">
        <v>9</v>
      </c>
      <c r="N170" s="6">
        <v>3.45</v>
      </c>
      <c r="O170" s="5">
        <v>0</v>
      </c>
      <c r="P170" s="6">
        <v>-3223.47</v>
      </c>
      <c r="Q170" s="5">
        <v>0</v>
      </c>
    </row>
    <row r="171" spans="1:17" x14ac:dyDescent="0.35">
      <c r="A171" s="9">
        <v>44531.308356481481</v>
      </c>
      <c r="B171" s="4" t="s">
        <v>43</v>
      </c>
      <c r="C171" s="6">
        <v>13.63</v>
      </c>
      <c r="D171" s="10">
        <v>1.3500000000000227</v>
      </c>
      <c r="E171" s="6">
        <v>18.399150000000311</v>
      </c>
      <c r="F171" s="11">
        <v>494.9778622</v>
      </c>
      <c r="G171" s="6">
        <v>11.836</v>
      </c>
      <c r="H171" s="6">
        <v>-2.4205500000000413</v>
      </c>
      <c r="I171" s="4">
        <v>1</v>
      </c>
      <c r="J171" s="9">
        <v>44551.441666666666</v>
      </c>
      <c r="K171" s="4">
        <v>9073.0593683590014</v>
      </c>
      <c r="L171" s="4">
        <v>5853.0547506815983</v>
      </c>
      <c r="M171" s="4" t="s">
        <v>9</v>
      </c>
      <c r="N171" s="6">
        <v>3.45</v>
      </c>
      <c r="O171" s="5">
        <v>0</v>
      </c>
      <c r="P171" s="6">
        <v>-3223.47</v>
      </c>
      <c r="Q171" s="5">
        <v>0</v>
      </c>
    </row>
    <row r="172" spans="1:17" x14ac:dyDescent="0.35">
      <c r="A172" s="9">
        <v>44532.69636574074</v>
      </c>
      <c r="B172" s="4" t="s">
        <v>43</v>
      </c>
      <c r="C172" s="6">
        <v>13.2</v>
      </c>
      <c r="D172" s="10">
        <v>1.089999999999975</v>
      </c>
      <c r="E172" s="6">
        <v>14.38581999999967</v>
      </c>
      <c r="F172" s="11">
        <v>494.9778622</v>
      </c>
      <c r="G172" s="6">
        <v>11.836</v>
      </c>
      <c r="H172" s="6">
        <v>-1.4845799999999656</v>
      </c>
      <c r="I172" s="4">
        <v>1</v>
      </c>
      <c r="J172" s="9">
        <v>44551.441666666666</v>
      </c>
      <c r="K172" s="4">
        <v>9073.0593683590014</v>
      </c>
      <c r="L172" s="4">
        <v>5853.0547506815983</v>
      </c>
      <c r="M172" s="4" t="s">
        <v>9</v>
      </c>
      <c r="N172" s="6">
        <v>3.45</v>
      </c>
      <c r="O172" s="5">
        <v>0</v>
      </c>
      <c r="P172" s="6">
        <v>-3223.47</v>
      </c>
      <c r="Q172" s="5">
        <v>0</v>
      </c>
    </row>
    <row r="173" spans="1:17" x14ac:dyDescent="0.35">
      <c r="A173" s="9">
        <v>44534.024710648147</v>
      </c>
      <c r="B173" s="4" t="s">
        <v>43</v>
      </c>
      <c r="C173" s="6">
        <v>9.8800000000000008</v>
      </c>
      <c r="D173" s="10">
        <v>0.92000000000001592</v>
      </c>
      <c r="E173" s="6">
        <v>9.0877600000001575</v>
      </c>
      <c r="F173" s="11">
        <v>494.9778622</v>
      </c>
      <c r="G173" s="6">
        <v>11.836</v>
      </c>
      <c r="H173" s="6">
        <v>1.8013600000000309</v>
      </c>
      <c r="I173" s="4">
        <v>1</v>
      </c>
      <c r="J173" s="9">
        <v>44551.441666666666</v>
      </c>
      <c r="K173" s="4">
        <v>9073.0593683590014</v>
      </c>
      <c r="L173" s="4">
        <v>5853.0547506815983</v>
      </c>
      <c r="M173" s="4" t="s">
        <v>9</v>
      </c>
      <c r="N173" s="6">
        <v>3.45</v>
      </c>
      <c r="O173" s="5">
        <v>0</v>
      </c>
      <c r="P173" s="6">
        <v>-3223.47</v>
      </c>
      <c r="Q173" s="5">
        <v>0</v>
      </c>
    </row>
    <row r="174" spans="1:17" x14ac:dyDescent="0.35">
      <c r="A174" s="9">
        <v>44535.953819444447</v>
      </c>
      <c r="B174" s="4" t="s">
        <v>43</v>
      </c>
      <c r="C174" s="6">
        <v>11.66</v>
      </c>
      <c r="D174" s="10">
        <v>1.5199999999999818</v>
      </c>
      <c r="E174" s="6">
        <v>17.718639999999787</v>
      </c>
      <c r="F174" s="11">
        <v>494.9778622</v>
      </c>
      <c r="G174" s="6">
        <v>11.836</v>
      </c>
      <c r="H174" s="6">
        <v>0.27207999999999899</v>
      </c>
      <c r="I174" s="4">
        <v>1</v>
      </c>
      <c r="J174" s="9">
        <v>44551.441666666666</v>
      </c>
      <c r="K174" s="4">
        <v>9073.0593683590014</v>
      </c>
      <c r="L174" s="4">
        <v>5853.0547506815983</v>
      </c>
      <c r="M174" s="4" t="s">
        <v>9</v>
      </c>
      <c r="N174" s="6">
        <v>3.45</v>
      </c>
      <c r="O174" s="5">
        <v>0</v>
      </c>
      <c r="P174" s="6">
        <v>-3223.47</v>
      </c>
      <c r="Q174" s="5">
        <v>0</v>
      </c>
    </row>
    <row r="175" spans="1:17" x14ac:dyDescent="0.35">
      <c r="A175" s="9">
        <v>44536.756631944445</v>
      </c>
      <c r="B175" s="4" t="s">
        <v>43</v>
      </c>
      <c r="C175" s="6">
        <v>12.38</v>
      </c>
      <c r="D175" s="10">
        <v>0.48000000000001819</v>
      </c>
      <c r="E175" s="6">
        <v>5.9424000000002248</v>
      </c>
      <c r="F175" s="11">
        <v>494.9778622</v>
      </c>
      <c r="G175" s="6">
        <v>11.836</v>
      </c>
      <c r="H175" s="6">
        <v>-0.26112000000000979</v>
      </c>
      <c r="I175" s="4">
        <v>1</v>
      </c>
      <c r="J175" s="9">
        <v>44551.441666666666</v>
      </c>
      <c r="K175" s="4">
        <v>9073.0593683590014</v>
      </c>
      <c r="L175" s="4">
        <v>5853.0547506815983</v>
      </c>
      <c r="M175" s="4" t="s">
        <v>9</v>
      </c>
      <c r="N175" s="6">
        <v>3.45</v>
      </c>
      <c r="O175" s="5">
        <v>0</v>
      </c>
      <c r="P175" s="6">
        <v>-3223.47</v>
      </c>
      <c r="Q175" s="5">
        <v>0</v>
      </c>
    </row>
    <row r="176" spans="1:17" x14ac:dyDescent="0.35">
      <c r="A176" s="9">
        <v>44538.601956018516</v>
      </c>
      <c r="B176" s="4" t="s">
        <v>43</v>
      </c>
      <c r="C176" s="6">
        <v>12.23</v>
      </c>
      <c r="D176" s="10">
        <v>1.2899999999999636</v>
      </c>
      <c r="E176" s="6">
        <v>15.770249999999555</v>
      </c>
      <c r="F176" s="11">
        <v>494.9778622</v>
      </c>
      <c r="G176" s="6">
        <v>11.836</v>
      </c>
      <c r="H176" s="6">
        <v>-0.50180999999998477</v>
      </c>
      <c r="I176" s="4">
        <v>1</v>
      </c>
      <c r="J176" s="9">
        <v>44551.441666666666</v>
      </c>
      <c r="K176" s="4">
        <v>9073.0593683590014</v>
      </c>
      <c r="L176" s="4">
        <v>5853.0547506815983</v>
      </c>
      <c r="M176" s="4" t="s">
        <v>9</v>
      </c>
      <c r="N176" s="6">
        <v>3.45</v>
      </c>
      <c r="O176" s="5">
        <v>0</v>
      </c>
      <c r="P176" s="6">
        <v>-3223.47</v>
      </c>
      <c r="Q176" s="5">
        <v>0</v>
      </c>
    </row>
    <row r="177" spans="1:17" x14ac:dyDescent="0.35">
      <c r="A177" s="9">
        <v>44539.910266203704</v>
      </c>
      <c r="B177" s="4" t="s">
        <v>43</v>
      </c>
      <c r="C177" s="6">
        <v>11.57</v>
      </c>
      <c r="D177" s="10">
        <v>0.98000000000001819</v>
      </c>
      <c r="E177" s="6">
        <v>11.338600000000211</v>
      </c>
      <c r="F177" s="11">
        <v>494.9778622</v>
      </c>
      <c r="G177" s="6">
        <v>11.836</v>
      </c>
      <c r="H177" s="6">
        <v>0.26068000000000424</v>
      </c>
      <c r="I177" s="4">
        <v>1</v>
      </c>
      <c r="J177" s="9">
        <v>44551.441666666666</v>
      </c>
      <c r="K177" s="4">
        <v>9073.0593683590014</v>
      </c>
      <c r="L177" s="4">
        <v>5853.0547506815983</v>
      </c>
      <c r="M177" s="4" t="s">
        <v>9</v>
      </c>
      <c r="N177" s="6">
        <v>3.45</v>
      </c>
      <c r="O177" s="5">
        <v>0</v>
      </c>
      <c r="P177" s="6">
        <v>-3223.47</v>
      </c>
      <c r="Q177" s="5">
        <v>0</v>
      </c>
    </row>
    <row r="178" spans="1:17" x14ac:dyDescent="0.35">
      <c r="A178" s="9">
        <v>44541.740173611113</v>
      </c>
      <c r="B178" s="4" t="s">
        <v>43</v>
      </c>
      <c r="C178" s="6">
        <v>11.29</v>
      </c>
      <c r="D178" s="10">
        <v>1.3600000000000136</v>
      </c>
      <c r="E178" s="6">
        <v>15.347600000000154</v>
      </c>
      <c r="F178" s="11">
        <v>494.9778622</v>
      </c>
      <c r="G178" s="6">
        <v>11.836</v>
      </c>
      <c r="H178" s="6">
        <v>0.74936000000000824</v>
      </c>
      <c r="I178" s="4">
        <v>1</v>
      </c>
      <c r="J178" s="9">
        <v>44551.441666666666</v>
      </c>
      <c r="K178" s="4">
        <v>9073.0593683590014</v>
      </c>
      <c r="L178" s="4">
        <v>5853.0547506815983</v>
      </c>
      <c r="M178" s="4" t="s">
        <v>9</v>
      </c>
      <c r="N178" s="6">
        <v>3.45</v>
      </c>
      <c r="O178" s="5">
        <v>0</v>
      </c>
      <c r="P178" s="6">
        <v>-3223.47</v>
      </c>
      <c r="Q178" s="5">
        <v>0</v>
      </c>
    </row>
    <row r="179" spans="1:17" x14ac:dyDescent="0.35">
      <c r="A179" s="9">
        <v>44542.875451388885</v>
      </c>
      <c r="B179" s="4" t="s">
        <v>43</v>
      </c>
      <c r="C179" s="6">
        <v>11.79</v>
      </c>
      <c r="D179" s="10">
        <v>0.84999999999996589</v>
      </c>
      <c r="E179" s="6">
        <v>10.022349999999598</v>
      </c>
      <c r="F179" s="11">
        <v>494.9778622</v>
      </c>
      <c r="G179" s="6">
        <v>11.836</v>
      </c>
      <c r="H179" s="6">
        <v>3.8249999999997897E-2</v>
      </c>
      <c r="I179" s="4">
        <v>1</v>
      </c>
      <c r="J179" s="9">
        <v>44551.441666666666</v>
      </c>
      <c r="K179" s="4">
        <v>9073.0593683590014</v>
      </c>
      <c r="L179" s="4">
        <v>5853.0547506815983</v>
      </c>
      <c r="M179" s="4" t="s">
        <v>9</v>
      </c>
      <c r="N179" s="6">
        <v>3.45</v>
      </c>
      <c r="O179" s="5">
        <v>0</v>
      </c>
      <c r="P179" s="6">
        <v>-3223.47</v>
      </c>
      <c r="Q179" s="5">
        <v>0</v>
      </c>
    </row>
    <row r="180" spans="1:17" x14ac:dyDescent="0.35">
      <c r="A180" s="9">
        <v>44543.464953703704</v>
      </c>
      <c r="B180" s="4" t="s">
        <v>43</v>
      </c>
      <c r="C180" s="6">
        <v>11.08</v>
      </c>
      <c r="D180" s="10">
        <v>0.43000000000000682</v>
      </c>
      <c r="E180" s="6">
        <v>4.7635400000000754</v>
      </c>
      <c r="F180" s="11">
        <v>494.9778622</v>
      </c>
      <c r="G180" s="6">
        <v>11.836</v>
      </c>
      <c r="H180" s="6">
        <v>0.32594000000000545</v>
      </c>
      <c r="I180" s="4">
        <v>1</v>
      </c>
      <c r="J180" s="9">
        <v>44551.441666666666</v>
      </c>
      <c r="K180" s="4">
        <v>9073.0593683590014</v>
      </c>
      <c r="L180" s="4">
        <v>5853.0547506815983</v>
      </c>
      <c r="M180" s="4" t="s">
        <v>9</v>
      </c>
      <c r="N180" s="6">
        <v>3.45</v>
      </c>
      <c r="O180" s="5">
        <v>0</v>
      </c>
      <c r="P180" s="6">
        <v>-3223.47</v>
      </c>
      <c r="Q180" s="5">
        <v>0</v>
      </c>
    </row>
    <row r="181" spans="1:17" x14ac:dyDescent="0.35">
      <c r="A181" s="9">
        <v>44544.865300925929</v>
      </c>
      <c r="B181" s="4" t="s">
        <v>43</v>
      </c>
      <c r="C181" s="6">
        <v>12.73</v>
      </c>
      <c r="D181" s="10">
        <v>1</v>
      </c>
      <c r="E181" s="6">
        <v>12.731</v>
      </c>
      <c r="F181" s="11">
        <v>494.9778622</v>
      </c>
      <c r="G181" s="6">
        <v>11.836</v>
      </c>
      <c r="H181" s="6">
        <v>-0.89499999999999957</v>
      </c>
      <c r="I181" s="4">
        <v>1</v>
      </c>
      <c r="J181" s="9">
        <v>44551.441666666666</v>
      </c>
      <c r="K181" s="4">
        <v>9073.0593683590014</v>
      </c>
      <c r="L181" s="4">
        <v>5853.0547506815983</v>
      </c>
      <c r="M181" s="4" t="s">
        <v>9</v>
      </c>
      <c r="N181" s="6">
        <v>3.45</v>
      </c>
      <c r="O181" s="5">
        <v>0</v>
      </c>
      <c r="P181" s="6">
        <v>-3223.47</v>
      </c>
      <c r="Q181" s="5">
        <v>0</v>
      </c>
    </row>
    <row r="182" spans="1:17" x14ac:dyDescent="0.35">
      <c r="A182" s="9">
        <v>44545.879988425928</v>
      </c>
      <c r="B182" s="4" t="s">
        <v>43</v>
      </c>
      <c r="C182" s="6">
        <v>13.05</v>
      </c>
      <c r="D182" s="10">
        <v>0.71000000000003638</v>
      </c>
      <c r="E182" s="6">
        <v>9.2647900000004739</v>
      </c>
      <c r="F182" s="11">
        <v>494.9778622</v>
      </c>
      <c r="G182" s="6">
        <v>11.836</v>
      </c>
      <c r="H182" s="6">
        <v>-0.86123000000004346</v>
      </c>
      <c r="I182" s="4">
        <v>1</v>
      </c>
      <c r="J182" s="9">
        <v>44551.441666666666</v>
      </c>
      <c r="K182" s="4">
        <v>9073.0593683590014</v>
      </c>
      <c r="L182" s="4">
        <v>5853.0547506815983</v>
      </c>
      <c r="M182" s="4" t="s">
        <v>9</v>
      </c>
      <c r="N182" s="6">
        <v>3.45</v>
      </c>
      <c r="O182" s="5">
        <v>0</v>
      </c>
      <c r="P182" s="6">
        <v>-3223.47</v>
      </c>
      <c r="Q182" s="5">
        <v>0</v>
      </c>
    </row>
    <row r="183" spans="1:17" x14ac:dyDescent="0.35">
      <c r="A183" s="9">
        <v>44546.762962962966</v>
      </c>
      <c r="B183" s="4" t="s">
        <v>43</v>
      </c>
      <c r="C183" s="6">
        <v>12.72</v>
      </c>
      <c r="D183" s="10">
        <v>0.6099999999999568</v>
      </c>
      <c r="E183" s="6">
        <v>7.756759999999451</v>
      </c>
      <c r="F183" s="11">
        <v>494.9778622</v>
      </c>
      <c r="G183" s="6">
        <v>11.836</v>
      </c>
      <c r="H183" s="6">
        <v>-0.5367999999999622</v>
      </c>
      <c r="I183" s="4">
        <v>1</v>
      </c>
      <c r="J183" s="9">
        <v>44551.441666666666</v>
      </c>
      <c r="K183" s="4">
        <v>9073.0593683590014</v>
      </c>
      <c r="L183" s="4">
        <v>5853.0547506815983</v>
      </c>
      <c r="M183" s="4" t="s">
        <v>9</v>
      </c>
      <c r="N183" s="6">
        <v>3.45</v>
      </c>
      <c r="O183" s="5">
        <v>0</v>
      </c>
      <c r="P183" s="6">
        <v>-3223.47</v>
      </c>
      <c r="Q183" s="5">
        <v>0</v>
      </c>
    </row>
    <row r="184" spans="1:17" x14ac:dyDescent="0.35">
      <c r="A184" s="9">
        <v>44548.639548611114</v>
      </c>
      <c r="B184" s="4" t="s">
        <v>43</v>
      </c>
      <c r="C184" s="6">
        <v>12.59</v>
      </c>
      <c r="D184" s="10">
        <v>1.2900000000000205</v>
      </c>
      <c r="E184" s="6">
        <v>16.244970000000258</v>
      </c>
      <c r="F184" s="11">
        <v>494.9778622</v>
      </c>
      <c r="G184" s="6">
        <v>11.836</v>
      </c>
      <c r="H184" s="6">
        <v>-0.97653000000001455</v>
      </c>
      <c r="I184" s="4">
        <v>1</v>
      </c>
      <c r="J184" s="9">
        <v>44551.441666666666</v>
      </c>
      <c r="K184" s="4">
        <v>9073.0593683590014</v>
      </c>
      <c r="L184" s="4">
        <v>5853.0547506815983</v>
      </c>
      <c r="M184" s="4" t="s">
        <v>9</v>
      </c>
      <c r="N184" s="6">
        <v>3.45</v>
      </c>
      <c r="O184" s="5">
        <v>0</v>
      </c>
      <c r="P184" s="6">
        <v>-3223.47</v>
      </c>
      <c r="Q184" s="5">
        <v>0</v>
      </c>
    </row>
    <row r="185" spans="1:17" x14ac:dyDescent="0.35">
      <c r="A185" s="9">
        <v>44550.070798611108</v>
      </c>
      <c r="B185" s="4" t="s">
        <v>43</v>
      </c>
      <c r="C185" s="6">
        <v>12.27</v>
      </c>
      <c r="D185" s="10">
        <v>0.99000000000000909</v>
      </c>
      <c r="E185" s="6">
        <v>12.145320000000112</v>
      </c>
      <c r="F185" s="11">
        <v>494.9778622</v>
      </c>
      <c r="G185" s="6">
        <v>11.836</v>
      </c>
      <c r="H185" s="6">
        <v>-0.42768000000000406</v>
      </c>
      <c r="I185" s="4">
        <v>1</v>
      </c>
      <c r="J185" s="9">
        <v>44551.441666666666</v>
      </c>
      <c r="K185" s="4">
        <v>9073.0593683590014</v>
      </c>
      <c r="L185" s="4">
        <v>5853.0547506815983</v>
      </c>
      <c r="M185" s="4" t="s">
        <v>9</v>
      </c>
      <c r="N185" s="6">
        <v>3.45</v>
      </c>
      <c r="O185" s="5">
        <v>0</v>
      </c>
      <c r="P185" s="6">
        <v>-3223.47</v>
      </c>
      <c r="Q185" s="5">
        <v>0</v>
      </c>
    </row>
    <row r="186" spans="1:17" x14ac:dyDescent="0.35">
      <c r="A186" s="9">
        <v>44551.423877314817</v>
      </c>
      <c r="B186" s="4" t="s">
        <v>43</v>
      </c>
      <c r="C186" s="6">
        <v>11.86</v>
      </c>
      <c r="D186" s="10">
        <v>0.93000000000000682</v>
      </c>
      <c r="E186" s="6">
        <v>11.033520000000081</v>
      </c>
      <c r="F186" s="11">
        <v>494.9778622</v>
      </c>
      <c r="G186" s="6">
        <v>11.836</v>
      </c>
      <c r="H186" s="6">
        <v>-2.6040000000000063E-2</v>
      </c>
      <c r="I186" s="4">
        <v>1</v>
      </c>
      <c r="J186" s="9">
        <v>44551.441666666666</v>
      </c>
      <c r="K186" s="4">
        <v>9073.0593683590014</v>
      </c>
      <c r="L186" s="4">
        <v>5853.0547506815983</v>
      </c>
      <c r="M186" s="4" t="s">
        <v>9</v>
      </c>
      <c r="N186" s="6">
        <v>3.45</v>
      </c>
      <c r="O186" s="5">
        <v>0</v>
      </c>
      <c r="P186" s="6">
        <v>-3223.47</v>
      </c>
      <c r="Q186" s="5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Transaction</vt:lpstr>
      <vt:lpstr>Control Center</vt:lpstr>
      <vt:lpstr>Sales_Summary</vt:lpstr>
      <vt:lpstr>Portfolio_Summary</vt:lpstr>
      <vt:lpstr>VET_txn</vt:lpstr>
      <vt:lpstr>MATIC_txn</vt:lpstr>
      <vt:lpstr>CTSI_txn</vt:lpstr>
      <vt:lpstr>ETH_txn</vt:lpstr>
      <vt:lpstr>HNT_txn</vt:lpstr>
      <vt:lpstr>BNB_txn</vt:lpstr>
      <vt:lpstr>DOGE_txn</vt:lpstr>
      <vt:lpstr>BTC_txn</vt:lpstr>
      <vt:lpstr>USDC_txn</vt:lpstr>
      <vt:lpstr>CAKE_txn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Spinrad</dc:creator>
  <cp:lastModifiedBy>David Spinrad</cp:lastModifiedBy>
  <dcterms:created xsi:type="dcterms:W3CDTF">2021-12-17T15:12:46Z</dcterms:created>
  <dcterms:modified xsi:type="dcterms:W3CDTF">2022-07-07T00:47:53Z</dcterms:modified>
</cp:coreProperties>
</file>